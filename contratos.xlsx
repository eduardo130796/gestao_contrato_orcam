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232" documentId="13_ncr:1_{9E2C17B3-310F-4CA2-97EF-E54289C91D21}" xr6:coauthVersionLast="47" xr6:coauthVersionMax="47" xr10:uidLastSave="{32E6A6FC-282E-4A83-A612-31A410497DA0}"/>
  <bookViews>
    <workbookView xWindow="23880" yWindow="1125" windowWidth="24240" windowHeight="13140" xr2:uid="{51E2F876-9AB9-4AB8-A695-36C7305D8F51}"/>
  </bookViews>
  <sheets>
    <sheet name="Planilha1" sheetId="1" r:id="rId1"/>
  </sheets>
  <externalReferences>
    <externalReference r:id="rId2"/>
    <externalReference r:id="rId3"/>
  </externalReferences>
  <definedNames>
    <definedName name="_xlnm._FilterDatabase" localSheetId="0" hidden="1">Planilha1!$A$1:$O$330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0" i="1" l="1"/>
  <c r="K303" i="1"/>
  <c r="M241" i="1"/>
  <c r="M240" i="1"/>
  <c r="P299" i="1"/>
  <c r="Q299" i="1"/>
  <c r="R299" i="1"/>
  <c r="S299" i="1" s="1"/>
  <c r="T299" i="1"/>
  <c r="U299" i="1" s="1"/>
  <c r="K215" i="1"/>
  <c r="K214" i="1"/>
  <c r="K213" i="1"/>
  <c r="K212" i="1"/>
  <c r="K211" i="1"/>
  <c r="K210" i="1"/>
  <c r="K75" i="1"/>
  <c r="K30" i="1"/>
  <c r="L30" i="1"/>
  <c r="K34" i="1"/>
  <c r="K33" i="1"/>
  <c r="K32" i="1"/>
  <c r="K31" i="1"/>
  <c r="L3" i="1"/>
  <c r="K2" i="1"/>
  <c r="L2" i="1" s="1"/>
  <c r="K398" i="1"/>
  <c r="K397" i="1"/>
  <c r="K396" i="1"/>
  <c r="K359" i="1"/>
  <c r="K358" i="1"/>
  <c r="K357" i="1"/>
  <c r="K356" i="1"/>
  <c r="K355" i="1"/>
  <c r="K354" i="1"/>
  <c r="K353" i="1"/>
  <c r="K340" i="1"/>
  <c r="K339" i="1"/>
  <c r="M334" i="1" l="1"/>
  <c r="L334" i="1"/>
  <c r="M333" i="1"/>
  <c r="L333" i="1"/>
  <c r="M332" i="1"/>
  <c r="L332" i="1"/>
  <c r="M331" i="1"/>
  <c r="L331" i="1"/>
  <c r="L330" i="1" l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L241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M33" i="1"/>
  <c r="L33" i="1"/>
  <c r="M32" i="1"/>
  <c r="L32" i="1"/>
  <c r="M31" i="1"/>
  <c r="L31" i="1"/>
  <c r="M30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K7" i="1"/>
  <c r="L7" i="1" s="1"/>
  <c r="M6" i="1"/>
  <c r="L6" i="1"/>
  <c r="M5" i="1"/>
  <c r="L5" i="1"/>
  <c r="M4" i="1"/>
  <c r="L4" i="1"/>
  <c r="M3" i="1"/>
  <c r="M2" i="1"/>
  <c r="L153" i="1" l="1"/>
  <c r="L34" i="1"/>
  <c r="M7" i="1"/>
</calcChain>
</file>

<file path=xl/sharedStrings.xml><?xml version="1.0" encoding="utf-8"?>
<sst xmlns="http://schemas.openxmlformats.org/spreadsheetml/2006/main" count="4149" uniqueCount="1708">
  <si>
    <t>REGIÕES</t>
  </si>
  <si>
    <t>ESTADO</t>
  </si>
  <si>
    <t>CONTRATO</t>
  </si>
  <si>
    <t>UNIDADE</t>
  </si>
  <si>
    <t>OBJETO</t>
  </si>
  <si>
    <t>PROCESSO</t>
  </si>
  <si>
    <t>MODALIDADE DE LICITAÇÃO</t>
  </si>
  <si>
    <t>QUANTIDADE</t>
  </si>
  <si>
    <t>CONTRATADA</t>
  </si>
  <si>
    <t>CNPJ/CPF</t>
  </si>
  <si>
    <t>VALOR ATUAL MENSAL</t>
  </si>
  <si>
    <t>VALOR ANUAL ATUAL</t>
  </si>
  <si>
    <t>VALOR GLOBAL</t>
  </si>
  <si>
    <t>OBSERVAÇÕES</t>
  </si>
  <si>
    <t>VIGÊNCIA</t>
  </si>
  <si>
    <t>CENTRO OESTE</t>
  </si>
  <si>
    <t>DF</t>
  </si>
  <si>
    <t>0227/2022</t>
  </si>
  <si>
    <t>BRASÍLIA</t>
  </si>
  <si>
    <t>LOCAÇÃO DE VEÍCULOS</t>
  </si>
  <si>
    <t>08038.025784/2021-04</t>
  </si>
  <si>
    <t>PREGÃO 83/2022</t>
  </si>
  <si>
    <t>EV LOCADORA LTDA</t>
  </si>
  <si>
    <t>03.574.135/0001-59</t>
  </si>
  <si>
    <t>30 MESES 
90 DIÁRIAS</t>
  </si>
  <si>
    <t>MS</t>
  </si>
  <si>
    <t>CAMPO GRANDE</t>
  </si>
  <si>
    <t>MT</t>
  </si>
  <si>
    <t>CÁCERES</t>
  </si>
  <si>
    <t>CUIABÁ</t>
  </si>
  <si>
    <t>0018/2022</t>
  </si>
  <si>
    <t>CONTRATAÇÃO DE PESSOA JURÍDICA PARA PRESTAÇÃO DE SERVIÇOS CONTINUADOS DE JORNALISMO, DESIGN GRÁFICO, FOTOGRAFIA E AUDIOVISUAL NAS DEPENDÊNCIAS DA DEFENSORIA PÚBLICA DA UNIÃO, NO DISTRITO FEDERAL. - JORNALISMO</t>
  </si>
  <si>
    <t>08038.019676/2021-94</t>
  </si>
  <si>
    <t>PREGÃO 10/2022</t>
  </si>
  <si>
    <t>G4F SOLUÇÕES CORPORATIVAS LTDA</t>
  </si>
  <si>
    <t>07.094.346/0001-45</t>
  </si>
  <si>
    <t>12 MESES</t>
  </si>
  <si>
    <t>CONTRATAÇÃO DE PESSOA JURÍDICA PARA PRESTAÇÃO DE SERVIÇOS CONTINUADOS DE JORNALISMO, DESIGN GRÁFICO, FOTOGRAFIA E AUDIOVISUAL NAS DEPENDÊNCIAS DA DEFENSORIA PÚBLICA DA UNIÃO, NO DISTRITO FEDERAL. - DIÁRIAS</t>
  </si>
  <si>
    <t>0135/2022</t>
  </si>
  <si>
    <t>ENERGIA ELÉTRICA E ILUMINAÇÃO PÚBLICA</t>
  </si>
  <si>
    <t>08038.003978/2022-21</t>
  </si>
  <si>
    <t>ADESÃO</t>
  </si>
  <si>
    <t>NEOENERGIA BRASÍLIA</t>
  </si>
  <si>
    <r>
      <t> </t>
    </r>
    <r>
      <rPr>
        <sz val="9"/>
        <color rgb="FF000000"/>
        <rFont val="Times New Roman"/>
        <family val="1"/>
      </rPr>
      <t>07.522.669/0001-92</t>
    </r>
  </si>
  <si>
    <t>60 MESES</t>
  </si>
  <si>
    <t>1004/2024</t>
  </si>
  <si>
    <t>GARÇONARIA</t>
  </si>
  <si>
    <t>08038.009879/2022-53</t>
  </si>
  <si>
    <t>DISPENSA 90101/2024</t>
  </si>
  <si>
    <t>REAL JG FACILITIES S.A</t>
  </si>
  <si>
    <t>08.247.960/0001-62</t>
  </si>
  <si>
    <t>30 MESES</t>
  </si>
  <si>
    <t>0212/2022</t>
  </si>
  <si>
    <t>SERVIÇO DE MÃO-DE-OBRA CARCERÁRIA</t>
  </si>
  <si>
    <t>08038.006118/2022-40</t>
  </si>
  <si>
    <t>DISPENSA 198/2022</t>
  </si>
  <si>
    <t>FUNDAÇÃO DE AMPARO AO TRABALHADOR PRESO DO DISTRITO FEDERAL – FUNAP/DF</t>
  </si>
  <si>
    <t>03.495.108/0001-90</t>
  </si>
  <si>
    <t>0004/2022</t>
  </si>
  <si>
    <t>CARREGADOR E ESTIVA</t>
  </si>
  <si>
    <t>08038.007877/2021-49</t>
  </si>
  <si>
    <t>PREGÃO 106/2021</t>
  </si>
  <si>
    <t>PROFORCE TERCEIRIZAÇÕES E SERVIÇOS EIRELI</t>
  </si>
  <si>
    <t>27.704.075/0001-00</t>
  </si>
  <si>
    <t>0146/2022</t>
  </si>
  <si>
    <t>VIGILÂNCIA PATRIMONIAL 44H</t>
  </si>
  <si>
    <t>08038.001908/2022-39</t>
  </si>
  <si>
    <t>PREGÃO 38/2022</t>
  </si>
  <si>
    <t>EURO SEGURANÇA PRIVADA EIRELI</t>
  </si>
  <si>
    <t>04.407.207/0001-36</t>
  </si>
  <si>
    <t>0112/2022</t>
  </si>
  <si>
    <t>ÁGUA E TRATAMENTO DE ESGOTO</t>
  </si>
  <si>
    <t>08038.001305/2022-37</t>
  </si>
  <si>
    <t>SERVIÇO DE SANEAMENTO AMBIENTAL ÁGUAS DO PANTANAL</t>
  </si>
  <si>
    <t>22.794.608/0001-78</t>
  </si>
  <si>
    <t>0009/2021</t>
  </si>
  <si>
    <t>LOCAÇÃO DE IMÓVEL
COMPARTILHADO  COM T.R.E. MATO GROSSO</t>
  </si>
  <si>
    <t>08038.005650/2018-63</t>
  </si>
  <si>
    <t>TRIBUNAL REGIONAL
ELEITORAL DE MATO GROSSO</t>
  </si>
  <si>
    <t>05.901.308/0001-21</t>
  </si>
  <si>
    <t>INDETERMINADO</t>
  </si>
  <si>
    <t>0037/2022</t>
  </si>
  <si>
    <t>08038.001713/2022-99</t>
  </si>
  <si>
    <t>ENERGISA MATO GROSSO - DISTRIBUIDORA DE ENERGIA S.A</t>
  </si>
  <si>
    <t>03.467.321/0001-99</t>
  </si>
  <si>
    <t>5005/2023</t>
  </si>
  <si>
    <t>ABASTECIMENTO DE ÁGUA POTÁVEL E/OU DE ESGOTAMENTO SANITÁRIO</t>
  </si>
  <si>
    <t>08143.000287/2023-50</t>
  </si>
  <si>
    <t xml:space="preserve"> AGUAS GUARIROBA AS</t>
  </si>
  <si>
    <t xml:space="preserve"> 04.089.570/0001-50</t>
  </si>
  <si>
    <t>5007/2023</t>
  </si>
  <si>
    <t>08143.000293/2023-15</t>
  </si>
  <si>
    <t>ENERGISA MATO GROSSO DO SUL – DISTRIBUIDORA DE ENERGIA S/A</t>
  </si>
  <si>
    <t>15.413.826/0001-50</t>
  </si>
  <si>
    <t>0069/2024</t>
  </si>
  <si>
    <t>LIMPEZA E CONSERVAÇÃO</t>
  </si>
  <si>
    <t>08038.003619/2024-36</t>
  </si>
  <si>
    <t>PREGÃO 900027/2024</t>
  </si>
  <si>
    <t>ACK SERVIÇO EMPRESARIAL LTDA</t>
  </si>
  <si>
    <t>18.689.359/0001-83</t>
  </si>
  <si>
    <t>0035/2024</t>
  </si>
  <si>
    <t>MANUTENÇÃO DE AR CONDICIONADO</t>
  </si>
  <si>
    <t>08038.004554/2024-46</t>
  </si>
  <si>
    <t>PREGÃO 900012/2024</t>
  </si>
  <si>
    <t>GENESIS COMÉRCIO E MANUTENCÕES LTDA-ME</t>
  </si>
  <si>
    <t>17.596.391/0001-51</t>
  </si>
  <si>
    <t>0178/2022</t>
  </si>
  <si>
    <t>08038.006257/2022-73</t>
  </si>
  <si>
    <t>CONCESSIONÁRIA DE SERVIÇOS PÚBLICOS DE ÁGUA E ESGOTO</t>
  </si>
  <si>
    <t>14.995.581/0001-53</t>
  </si>
  <si>
    <t>0030/2022</t>
  </si>
  <si>
    <t>08038.000525/2022-43</t>
  </si>
  <si>
    <t>ENERGISA MATO GROSSO DISTRIBUIDORA DE ENERGIA AS</t>
  </si>
  <si>
    <t>0083/2021</t>
  </si>
  <si>
    <t>VIGILÂNCIA PATRIMONIAL 12x36 DIURNO</t>
  </si>
  <si>
    <t>08038.005117/2021-05</t>
  </si>
  <si>
    <t>PREGÃO 45/2021</t>
  </si>
  <si>
    <t>BALÍSTICO SEGURANÇA EIRELI</t>
  </si>
  <si>
    <t>01.548.228/0001-83</t>
  </si>
  <si>
    <t>0183/2022</t>
  </si>
  <si>
    <t>DOURADOS</t>
  </si>
  <si>
    <t>08038.001968/2022-51</t>
  </si>
  <si>
    <t>EMPRESA DE SANEAMENTO DE MATO GROSSO DO SUL S.A</t>
  </si>
  <si>
    <t>03.982.931/0001-20</t>
  </si>
  <si>
    <t>0150/2022</t>
  </si>
  <si>
    <t>08038.001297/2022-29</t>
  </si>
  <si>
    <t>ENERGISA MATO GROSSO DO SUL - DISTRIBUIDORA DE ENERGIA S.A</t>
  </si>
  <si>
    <t>0207/2022</t>
  </si>
  <si>
    <t>08038.002427/2022-41</t>
  </si>
  <si>
    <t>PREGÃO 72/2022</t>
  </si>
  <si>
    <t>COENE GESTAO EM SERVICOS DE LIMPEZA LTDA</t>
  </si>
  <si>
    <t>22.468.832/0001-70</t>
  </si>
  <si>
    <t>0027/2024</t>
  </si>
  <si>
    <t>08038.004573/2024-72</t>
  </si>
  <si>
    <t>PREGÃO 90012/2024</t>
  </si>
  <si>
    <t>GO</t>
  </si>
  <si>
    <t>0017/2023</t>
  </si>
  <si>
    <t>GOIÂNIA</t>
  </si>
  <si>
    <t>08038.000735/2022-31</t>
  </si>
  <si>
    <t>PREGÃO 50/2022</t>
  </si>
  <si>
    <t>GENESIS COMÉRCIO E MANUTENÇÕES LTDA</t>
  </si>
  <si>
    <t>0072/2023</t>
  </si>
  <si>
    <t>08038.001047/2023-70</t>
  </si>
  <si>
    <t>PREGÃO 43/2023</t>
  </si>
  <si>
    <t>BRASFORT EMPRESA DE SEGURANÇA LTDA</t>
  </si>
  <si>
    <t>03.497.401/0001-97</t>
  </si>
  <si>
    <t>NORTE</t>
  </si>
  <si>
    <t>PA</t>
  </si>
  <si>
    <t>0101/2023</t>
  </si>
  <si>
    <t>BELÉM 
SANTARÉM 
ALTAMIRA</t>
  </si>
  <si>
    <t>VIGILÂNCIA PATRIMONIAL</t>
  </si>
  <si>
    <t>08038.001542/2023-89</t>
  </si>
  <si>
    <t>PREGÃO Nº 71/2023</t>
  </si>
  <si>
    <t>BELEM RIO SEGURANÇA LTDA</t>
  </si>
  <si>
    <t>17.433.496/0001-90</t>
  </si>
  <si>
    <t>AC</t>
  </si>
  <si>
    <t>0035/2022</t>
  </si>
  <si>
    <t>RIO BRANCO</t>
  </si>
  <si>
    <t>08038.024087/2021-28</t>
  </si>
  <si>
    <t>PREGÃO N° 21/2022</t>
  </si>
  <si>
    <t>MUNDIAL SERVIÇOS E TRANSPORTES LTDA</t>
  </si>
  <si>
    <t>11.907.591/0001-00</t>
  </si>
  <si>
    <t>AM</t>
  </si>
  <si>
    <t>MANAUS</t>
  </si>
  <si>
    <t>ALTAMIRA</t>
  </si>
  <si>
    <t>RO</t>
  </si>
  <si>
    <t>PORTO VELHO</t>
  </si>
  <si>
    <t>RR</t>
  </si>
  <si>
    <t>BOA VISTA</t>
  </si>
  <si>
    <t>0158/2022</t>
  </si>
  <si>
    <t>08038.003474/2016-63</t>
  </si>
  <si>
    <t>CENTRAIS ELÉTRICAS DO PARÁ</t>
  </si>
  <si>
    <t>04.895.728/0001-80</t>
  </si>
  <si>
    <t>0085/2025</t>
  </si>
  <si>
    <t>08038.001154/2025-60</t>
  </si>
  <si>
    <t>PREGÃO Nº 90002/2024</t>
  </si>
  <si>
    <t>LG ADMINISTRADORA DE SERVIÇOS EIRELI</t>
  </si>
  <si>
    <t>05.427.994/0001-41</t>
  </si>
  <si>
    <t>0067/2022</t>
  </si>
  <si>
    <t>BELÉM</t>
  </si>
  <si>
    <t>08038.001594/2022-74</t>
  </si>
  <si>
    <t>COMPANHIA DE SANEAMENTO DO PARÁ – COSANPA S/A</t>
  </si>
  <si>
    <t>04.945.341/0001-90</t>
  </si>
  <si>
    <t>0062/2022</t>
  </si>
  <si>
    <t>08038.000549/2022-01</t>
  </si>
  <si>
    <t>EQUATORIAL PARÁ DISTRIBUIDORA DE ENERGIA S.A</t>
  </si>
  <si>
    <t>0053/2025</t>
  </si>
  <si>
    <t>08038.007872/2024-69</t>
  </si>
  <si>
    <t>PREGÃO Nº 90061/2024</t>
  </si>
  <si>
    <t>LG ADMINISTRADORA DE SERVICOS LTDA</t>
  </si>
  <si>
    <t>05.427.994/0001-40</t>
  </si>
  <si>
    <t>0078/2025</t>
  </si>
  <si>
    <t>08038.000813/2025-41</t>
  </si>
  <si>
    <t>PREGÃO Nº 90233/2024</t>
  </si>
  <si>
    <t>POLO ENGENHARIA.COM LTDA</t>
  </si>
  <si>
    <t>03.202.674/0001-67</t>
  </si>
  <si>
    <t>0181/2022</t>
  </si>
  <si>
    <t>08177.000022/2022-83</t>
  </si>
  <si>
    <t>COMPANHIA DE ÁGUAS E ESGOTOS DE RORAIMA - CAER</t>
  </si>
  <si>
    <t>05.939.467/0001-15</t>
  </si>
  <si>
    <t>0063/2022</t>
  </si>
  <si>
    <t>08177.000025/2022-17</t>
  </si>
  <si>
    <t>RORAIMA ENERGIA S.A.</t>
  </si>
  <si>
    <t>02.341.470/0001-44</t>
  </si>
  <si>
    <t>0021/2024</t>
  </si>
  <si>
    <t>08038.004509/2024-91</t>
  </si>
  <si>
    <t>PREGÃO N° 90012/2024</t>
  </si>
  <si>
    <t>GENESIS COMÉRCIO E MANUTENÇÕES LTDA-ME</t>
  </si>
  <si>
    <t xml:space="preserve"> 17.596.391/0001-51</t>
  </si>
  <si>
    <t>0086/2023</t>
  </si>
  <si>
    <t>08038.001246/2023-88</t>
  </si>
  <si>
    <t>PREGÃO Nº 29/2020</t>
  </si>
  <si>
    <t>BELÉMRIO SEGURANÇA LTDA</t>
  </si>
  <si>
    <t>17.433.496/0004-32</t>
  </si>
  <si>
    <t>AP</t>
  </si>
  <si>
    <t>0122/2023</t>
  </si>
  <si>
    <t>MACAPÁ</t>
  </si>
  <si>
    <t>EMOLIÇÃO E CONSTRUÇÃO DA NOVA EDIFICAÇÃO DA UNIDADE DA DPU - MACAPÁ/AP</t>
  </si>
  <si>
    <t>08038.010256/2023-12</t>
  </si>
  <si>
    <t>PREGÃO Nº 88/2023</t>
  </si>
  <si>
    <t>CONSTRUTORA NALDO BEZERRA LTDA - ME</t>
  </si>
  <si>
    <t>11.365.404/0001-03</t>
  </si>
  <si>
    <t>0112/2025</t>
  </si>
  <si>
    <t xml:space="preserve">MACAPÁ  </t>
  </si>
  <si>
    <t xml:space="preserve">VIGILÂNCIA PATRIMONIAL </t>
  </si>
  <si>
    <t>08038.009980/2024-76</t>
  </si>
  <si>
    <t>PREGÃO  Nº 90011/2025</t>
  </si>
  <si>
    <t>J. A. VIGILANCIA E SEGURANCA PRIVADA LTDA</t>
  </si>
  <si>
    <t>29.816.182/0001-55</t>
  </si>
  <si>
    <t>0034/2022</t>
  </si>
  <si>
    <t>08038.000360/2022-18</t>
  </si>
  <si>
    <t>COMPANHIA DE ELETRICIDADE DO AMAPA</t>
  </si>
  <si>
    <t>05.965.546/0001-09</t>
  </si>
  <si>
    <t>5004/2024</t>
  </si>
  <si>
    <t xml:space="preserve"> 08159.000119/2024-76</t>
  </si>
  <si>
    <t>CONCESSIONÁRIA DE
SANEAMENTO DO AMAPÁ SPE S.A (“CSA”)</t>
  </si>
  <si>
    <t>44.109.598/0001-27</t>
  </si>
  <si>
    <t>6001/2025</t>
  </si>
  <si>
    <t>08038.009255/2024-06</t>
  </si>
  <si>
    <t>PREGÃO Nº 90004/2025</t>
  </si>
  <si>
    <t>M.RODRIGUES CARDOSO LTDA</t>
  </si>
  <si>
    <t>15.236.161/0001-56</t>
  </si>
  <si>
    <t>EMERGENCIAL
12 MESES</t>
  </si>
  <si>
    <t>0077/2025</t>
  </si>
  <si>
    <t>08038.000814/2025-95</t>
  </si>
  <si>
    <t>0124/2022</t>
  </si>
  <si>
    <t>08038.001835/2022-85</t>
  </si>
  <si>
    <t>MANAUSAMBIENTAL</t>
  </si>
  <si>
    <t>03.264.927/0001-27</t>
  </si>
  <si>
    <t>0027/2022</t>
  </si>
  <si>
    <t>08038.001869/2022-70</t>
  </si>
  <si>
    <t>AMAZONAS ENERGIA S.A</t>
  </si>
  <si>
    <t>02.341.467/0001-20</t>
  </si>
  <si>
    <t>0056/2023</t>
  </si>
  <si>
    <t>08038.018400/2022-70</t>
  </si>
  <si>
    <t>PREGÃO Nº 41/2023</t>
  </si>
  <si>
    <t>IMPACTO SERVIÇOS TERCEIRIZADOS LTDA</t>
  </si>
  <si>
    <t>09.192.042/0001-46</t>
  </si>
  <si>
    <t>0020/2024</t>
  </si>
  <si>
    <t>08038.004500/2024-81</t>
  </si>
  <si>
    <t>PREGÃO Nº 90012/2024</t>
  </si>
  <si>
    <t>IGM2 METROLOGIA E MANUTENÇÃO LTDA</t>
  </si>
  <si>
    <t>24.982.785/0001-03</t>
  </si>
  <si>
    <t>0092/2020</t>
  </si>
  <si>
    <t>MANUTENÇÃO PREVENTIVA E CORRETIVA - ETE</t>
  </si>
  <si>
    <t>08038.002192/2019-91</t>
  </si>
  <si>
    <t>PREGÃO Nº 44/2020</t>
  </si>
  <si>
    <t>SANAR CIDADANIA AMBIENTAL LTDA</t>
  </si>
  <si>
    <t>05.854.048/0001-80</t>
  </si>
  <si>
    <t>0119/2023</t>
  </si>
  <si>
    <t>MANUTENÇÃO PREVENTIVA E/OU CORRETIVA NO GRUPO GERADOR</t>
  </si>
  <si>
    <t xml:space="preserve"> 08161.000241/2023-12</t>
  </si>
  <si>
    <t>DISPENSA Nº 90032/2023</t>
  </si>
  <si>
    <t>CLEIDSON BARBOSA SILVA LTDA</t>
  </si>
  <si>
    <t>29.797.421/0001-77</t>
  </si>
  <si>
    <t>TO</t>
  </si>
  <si>
    <t>0068/2022</t>
  </si>
  <si>
    <t xml:space="preserve">PALMAS  </t>
  </si>
  <si>
    <t>08038.003917/2021-83</t>
  </si>
  <si>
    <t>BRK AMBIENTAL</t>
  </si>
  <si>
    <t>25.089.509/0001-83</t>
  </si>
  <si>
    <t>0077/2022</t>
  </si>
  <si>
    <t>08038.024475/2021-17</t>
  </si>
  <si>
    <t>ENERGISA TOCANTINS DISTRIBUIDORA DE ENERGIA S.A</t>
  </si>
  <si>
    <t>25.086.034/0001-71</t>
  </si>
  <si>
    <t>0253/2022</t>
  </si>
  <si>
    <t>08038.009154/2022-65</t>
  </si>
  <si>
    <t>PREGÃO N° 97/2022</t>
  </si>
  <si>
    <t>ROCHA E SANTOS LTDA</t>
  </si>
  <si>
    <t>17.689.036/0001-27</t>
  </si>
  <si>
    <t>0023/2024</t>
  </si>
  <si>
    <t>08038.004514/2024-02</t>
  </si>
  <si>
    <t>PREGÃO  Nº 90012/2024</t>
  </si>
  <si>
    <t>0114/2023</t>
  </si>
  <si>
    <t>MANUTENÇÃO PREVENTIVA E CORRETIVA EM PLATAFORMA DE ACESSIBILIDADE</t>
  </si>
  <si>
    <t>08038.005834/2023-91</t>
  </si>
  <si>
    <t>DISPENSA 188/2023</t>
  </si>
  <si>
    <t>R.J.C. DE CARVALHO SERVIÇOS</t>
  </si>
  <si>
    <t>06.223.636/0001-89</t>
  </si>
  <si>
    <t>0080/2024</t>
  </si>
  <si>
    <t>08038.012279/2023-53</t>
  </si>
  <si>
    <t>PREGÃO  Nº 90031/2024</t>
  </si>
  <si>
    <t>REDUTO SEGURANÇA PRIVADA LTDA</t>
  </si>
  <si>
    <t>21.315.603/0001-52</t>
  </si>
  <si>
    <t>0139/2022</t>
  </si>
  <si>
    <t>08038.003383/2022-76</t>
  </si>
  <si>
    <t>ENERGISA RONDÔNIA - DISTRIBUIDORA DE ENERGIA S.A.</t>
  </si>
  <si>
    <t>05.914.650/0001-66</t>
  </si>
  <si>
    <t>0086/2025</t>
  </si>
  <si>
    <t>08038.001153/2025-15</t>
  </si>
  <si>
    <t>0152/2021</t>
  </si>
  <si>
    <t>08038.018050/2021-61</t>
  </si>
  <si>
    <t>PREGÃO Nº 84/2021</t>
  </si>
  <si>
    <t>G.J.SEG VIGILÂCIA LTDA</t>
  </si>
  <si>
    <t>21.361.698/0001-40</t>
  </si>
  <si>
    <t>0064/2022</t>
  </si>
  <si>
    <t>08038.001653/2022-12</t>
  </si>
  <si>
    <t>ENERGISA ACRE - DISTRIBUIDORA DE ENERGIA S.A</t>
  </si>
  <si>
    <t>04.065.033/0001-70</t>
  </si>
  <si>
    <t>0125/2020</t>
  </si>
  <si>
    <t>08038.029824/2020-06</t>
  </si>
  <si>
    <t>PREGÃO Nº 50/2020</t>
  </si>
  <si>
    <t>ESTAÇÃO VIP VIGILÂNCIA E TRANSPORTE DE VALORES LTDA</t>
  </si>
  <si>
    <t>09.228.233/0001-10</t>
  </si>
  <si>
    <t>0066/2022</t>
  </si>
  <si>
    <t>SANTARÉM</t>
  </si>
  <si>
    <t>08038.001638/2022-66</t>
  </si>
  <si>
    <t>COMPANHIA DE SANEAMENTO DO PARÁ</t>
  </si>
  <si>
    <t>0065/2022</t>
  </si>
  <si>
    <t>08038.000029/2022-90</t>
  </si>
  <si>
    <t>EQUATORIAL PARÁ DISTRIBUIDORA DE ENERGIA S/A</t>
  </si>
  <si>
    <t>0094/2025</t>
  </si>
  <si>
    <t>08038.001831/2024-69</t>
  </si>
  <si>
    <t>PREGÃO Nº 90058/2024</t>
  </si>
  <si>
    <t>MASTER DESENVOLVIMENTO LTDA</t>
  </si>
  <si>
    <t xml:space="preserve"> 23.624.599/0001-30</t>
  </si>
  <si>
    <t>0022/2024</t>
  </si>
  <si>
    <t>08038.004513/2024-50</t>
  </si>
  <si>
    <t>60 MESES,</t>
  </si>
  <si>
    <t>NORDESTE</t>
  </si>
  <si>
    <t>BA</t>
  </si>
  <si>
    <t>0096/2025</t>
  </si>
  <si>
    <t>FEIRA DE SANTANA</t>
  </si>
  <si>
    <t>08038.008174/2024-81</t>
  </si>
  <si>
    <t>PREGÃO 90072/2024</t>
  </si>
  <si>
    <t>ADSUMUS SEGURANÇA PRIVADA LTDA</t>
  </si>
  <si>
    <t>30.588.816/0001-49</t>
  </si>
  <si>
    <t>SALVADOR</t>
  </si>
  <si>
    <t>VITÓRIA DA CONQUISTA</t>
  </si>
  <si>
    <t xml:space="preserve">AL
CE
MA
PB
PE
RN
SE
</t>
  </si>
  <si>
    <t>0243/2022</t>
  </si>
  <si>
    <t>ARACAJU
FORTALEZA
JOÃO PESSOA
MACEIÓ
MOSSORÓ
RECIFE
SÃO LUIS
SOBRAL</t>
  </si>
  <si>
    <t>08038.025783/2021-51</t>
  </si>
  <si>
    <t>PREGÃO 85/2022</t>
  </si>
  <si>
    <t>ESTRADA BRASIL TRANSPORTADORA LTDA</t>
  </si>
  <si>
    <t>10.429.502/0001-96</t>
  </si>
  <si>
    <t>SE</t>
  </si>
  <si>
    <t>5004/2025</t>
  </si>
  <si>
    <t>ARACAJU</t>
  </si>
  <si>
    <t>08135.000090/2025-81</t>
  </si>
  <si>
    <t>inexigibilidade</t>
  </si>
  <si>
    <t xml:space="preserve">IGUÁ Sergipe S.A. – CONCESSIONÁRIA DE SERVIÇOS PÚBLICOS DE ÁGUA E ESGOTO </t>
  </si>
  <si>
    <t>58.070.452/0001-20</t>
  </si>
  <si>
    <t xml:space="preserve">60 MESES </t>
  </si>
  <si>
    <t>0104/2022</t>
  </si>
  <si>
    <t>08038.018072/2021-21</t>
  </si>
  <si>
    <t>COMPANHIA DE SANEAMENTO DE SERGIPE - DESO</t>
  </si>
  <si>
    <t>13.018.171/0001-90</t>
  </si>
  <si>
    <t>0069/2022</t>
  </si>
  <si>
    <t>08038.001678/2022-16</t>
  </si>
  <si>
    <t>ENERGISA SERGIPE</t>
  </si>
  <si>
    <t>13.017.462/0001-63</t>
  </si>
  <si>
    <t>0073/2024</t>
  </si>
  <si>
    <t>08038.002667/2024-15</t>
  </si>
  <si>
    <t>PREGÃO 90033/2024</t>
  </si>
  <si>
    <t>CORESE SERVIÇOS ESPECIALIZADOS LTDA</t>
  </si>
  <si>
    <t>08.704.691/0001-16</t>
  </si>
  <si>
    <t>0081/2024</t>
  </si>
  <si>
    <t>LOCAÇÃO DE IMÓVEL
COMPARTILHADO COM IPHAN</t>
  </si>
  <si>
    <t>08135.000079/2024-31</t>
  </si>
  <si>
    <t>TERMO DE COMPARTILHAMENTO</t>
  </si>
  <si>
    <t>IPHAN</t>
  </si>
  <si>
    <t>26.474056/0009-29</t>
  </si>
  <si>
    <t>61 MESES</t>
  </si>
  <si>
    <t>0011/2024</t>
  </si>
  <si>
    <t>MANUTENÇÃO PREVENTIVA E CORRETIVA, COM FORNECIMENTO DE PEÇAS, PARA O SISTEMA DE BOMBEAMENTO DE ÁGUA POTÁVEL</t>
  </si>
  <si>
    <t>08135.000053/2024-92</t>
  </si>
  <si>
    <t xml:space="preserve"> DISPENSA 90029/2024</t>
  </si>
  <si>
    <t>WILSON GOMES DOS SANTOS</t>
  </si>
  <si>
    <t>17.920.637/0001-07​</t>
  </si>
  <si>
    <t>0033/2024</t>
  </si>
  <si>
    <t>08038.004936/2024-70</t>
  </si>
  <si>
    <t>GENESIS COMERCIO E MANUTENÇÕES LTDA-ME</t>
  </si>
  <si>
    <t>0050/2023</t>
  </si>
  <si>
    <t>MANUTENÇÃO DE ELEVADOR</t>
  </si>
  <si>
    <t xml:space="preserve"> 08038.016578/2022-86</t>
  </si>
  <si>
    <t>PREGÃO Nº 11/2023</t>
  </si>
  <si>
    <t>MANUTÉCNICA MANUTENÇÃO LTDA</t>
  </si>
  <si>
    <t>03.758.809/0001-75</t>
  </si>
  <si>
    <t>AL</t>
  </si>
  <si>
    <t>0128/2022</t>
  </si>
  <si>
    <t>ARAPIRACA</t>
  </si>
  <si>
    <t>08195.000008/2022-61</t>
  </si>
  <si>
    <t>CIA DE ABASTECIMENTO DAGUA E SANEAMENTO DO ESTADO DE AL</t>
  </si>
  <si>
    <t>12.294.708/0001-81</t>
  </si>
  <si>
    <t>0118/2022</t>
  </si>
  <si>
    <t>08038.003920/2022-88</t>
  </si>
  <si>
    <t>EQUATORIAL ALAGOAS DISTRIBUIDORA DE ENERGIA S.A </t>
  </si>
  <si>
    <t>12.272.084.0001-00</t>
  </si>
  <si>
    <t>0008/2024</t>
  </si>
  <si>
    <t>08038.010872/2023-65</t>
  </si>
  <si>
    <t>PREGÃO 90004/2024</t>
  </si>
  <si>
    <t>PS SERVIÇOS DE LIMPEZA LTDA</t>
  </si>
  <si>
    <t>18.804.276/0001-98</t>
  </si>
  <si>
    <t>PB</t>
  </si>
  <si>
    <t>0160/2022</t>
  </si>
  <si>
    <t>CAMPINA GRANDE</t>
  </si>
  <si>
    <t>08038.004254/2022-03</t>
  </si>
  <si>
    <t>COMPANHIA DE AGUA E ESGOTOS DA PARAIBA CAGEPA</t>
  </si>
  <si>
    <t>09.123.654/0001-87</t>
  </si>
  <si>
    <t>0159/2022</t>
  </si>
  <si>
    <t>08038.004237/2022-68</t>
  </si>
  <si>
    <t>DISPENSA 302/2014</t>
  </si>
  <si>
    <t xml:space="preserve"> ENERGISA BORBOREMA - DISTRIBUIDORA DE ENERGIA S.A</t>
  </si>
  <si>
    <t>08.826.596/001-95</t>
  </si>
  <si>
    <t>PE</t>
  </si>
  <si>
    <t>0061/2022</t>
  </si>
  <si>
    <t>CARUARU</t>
  </si>
  <si>
    <t>08038.017974/2021-40</t>
  </si>
  <si>
    <t>COMPANHIA PERNAMBUCANA DE SANEAMENTO - COMPESA</t>
  </si>
  <si>
    <t>09.769.035/0001-64</t>
  </si>
  <si>
    <t>0123/2022</t>
  </si>
  <si>
    <t>08038.003672/2022-75</t>
  </si>
  <si>
    <t>COMPANHIA ENERGETICA DE PERNAMBUCO</t>
  </si>
  <si>
    <t>10.835.932/0001-08</t>
  </si>
  <si>
    <t>0034/2023</t>
  </si>
  <si>
    <t>08038.016031/2022-81</t>
  </si>
  <si>
    <t>PREGÃO 09/2023</t>
  </si>
  <si>
    <t>A1 SERVIÇOS E ORGANIZAÇÃO DE EVENTOS LTDA</t>
  </si>
  <si>
    <t>19.703.791/0001-44</t>
  </si>
  <si>
    <t>0186/2022</t>
  </si>
  <si>
    <t xml:space="preserve">VITÓRIA DA CONQUISTA </t>
  </si>
  <si>
    <t>08038.001651/2022-15</t>
  </si>
  <si>
    <t>EMPRESA BAIANA DE ÁGUA E SANEAMENTO S/A</t>
  </si>
  <si>
    <t>13.504.675/0001-10</t>
  </si>
  <si>
    <t>0032/2022</t>
  </si>
  <si>
    <t>08038.025028/2021-77</t>
  </si>
  <si>
    <t>COMPANHIA DE ELETRICIDADE DO ESTADO DA BAHIA</t>
  </si>
  <si>
    <t>15.139.629/0001-94</t>
  </si>
  <si>
    <t>0071/2023</t>
  </si>
  <si>
    <t>08038.001314/2023-17</t>
  </si>
  <si>
    <t>PREGÃO 46/2023</t>
  </si>
  <si>
    <t>ANGICO VELHO EMPREENDIMENTOS LTDA</t>
  </si>
  <si>
    <t>07.330.029/0001-80</t>
  </si>
  <si>
    <t>CE</t>
  </si>
  <si>
    <t>0130/2022</t>
  </si>
  <si>
    <t>FORTALEZA</t>
  </si>
  <si>
    <t>08038.002023/2022-57</t>
  </si>
  <si>
    <t>COMPANHIA ENERGETICA DO CEARA</t>
  </si>
  <si>
    <t>07.047.251/0001-70</t>
  </si>
  <si>
    <t>0071/2022</t>
  </si>
  <si>
    <t>08038.001810/2022-81</t>
  </si>
  <si>
    <t>COMPANHIA DE AGUA E ESGOTO DO CEARA
CAGECE</t>
  </si>
  <si>
    <t>07.040.108/0001-57</t>
  </si>
  <si>
    <t>0041/2023</t>
  </si>
  <si>
    <t>08038.015784/2022-79</t>
  </si>
  <si>
    <t>PREGÃO 08/2023</t>
  </si>
  <si>
    <t>GAMA CONSERVAÇÃO E MANUTENÇÃO PREDIAL LTDA</t>
  </si>
  <si>
    <t>19.609.199/0001-88</t>
  </si>
  <si>
    <t>0088/2024</t>
  </si>
  <si>
    <t>08038.006454/2024-54</t>
  </si>
  <si>
    <t>PREGÃO 90046/2024</t>
  </si>
  <si>
    <t>NORDESTE COMÉRCIO E SERVIÇOS LTDA</t>
  </si>
  <si>
    <t>07.300.179/0001-41</t>
  </si>
  <si>
    <t>0032/2024</t>
  </si>
  <si>
    <t>08038.004939/2024-11</t>
  </si>
  <si>
    <t xml:space="preserve"> GENESIS COMERCIO E MANUTENÇÕES LTDA-ME</t>
  </si>
  <si>
    <t>0060/2022</t>
  </si>
  <si>
    <t>JOÃO PESSOA</t>
  </si>
  <si>
    <t>08038.001833/2022-96</t>
  </si>
  <si>
    <t>0098/2022</t>
  </si>
  <si>
    <t>08038.003052/2022-36</t>
  </si>
  <si>
    <t>ENERGISA PARAÍBA DISTRIBUIDORA DE ENERGIA AS</t>
  </si>
  <si>
    <t>09.095.183/0001-40</t>
  </si>
  <si>
    <t>0012/2024</t>
  </si>
  <si>
    <t>08038.011843/2023-11</t>
  </si>
  <si>
    <t>PREGÃO 90009/2024</t>
  </si>
  <si>
    <t>PLUS ADMINISTRAÇÃO E TERCEIRIZAÇÃO LTDA</t>
  </si>
  <si>
    <t>11.027.601/0001-04</t>
  </si>
  <si>
    <t xml:space="preserve">30 MESES </t>
  </si>
  <si>
    <t>0097/2023</t>
  </si>
  <si>
    <t>MANUTENÇÃO PREVENTIVA E CORRETIVA DE PLATAFORMA DE ACESSIBILIDADE</t>
  </si>
  <si>
    <t>08155.000051/2023-84</t>
  </si>
  <si>
    <t>DISPENSA 166/2023</t>
  </si>
  <si>
    <t>ENGELTECH ELEVADORES LTDA</t>
  </si>
  <si>
    <t>07.485.559/0001-06</t>
  </si>
  <si>
    <t>0030/2024</t>
  </si>
  <si>
    <t>08038.004639/2024-24</t>
  </si>
  <si>
    <t>0031/2022</t>
  </si>
  <si>
    <t>MACEIÓ</t>
  </si>
  <si>
    <t>08038.000668/2022-55</t>
  </si>
  <si>
    <t>BRK AMBIENTAL - REGIÃO METROPOLITANA DE MACEIÓ</t>
  </si>
  <si>
    <t>39.580.673/0001-01</t>
  </si>
  <si>
    <t>0097/2022</t>
  </si>
  <si>
    <t>08038.017985/2021-20</t>
  </si>
  <si>
    <t>EQUATORIAL ENERGIA ALAGOAS</t>
  </si>
  <si>
    <t>12.272.084/0001-00</t>
  </si>
  <si>
    <t>0194/2020</t>
  </si>
  <si>
    <t>08038.008967/2019-32</t>
  </si>
  <si>
    <t>DISPENSA 04/2021</t>
  </si>
  <si>
    <t>IMPACTO SERVIÇOS TERCEIRIZADOS EIRELI</t>
  </si>
  <si>
    <t>12 MESES 
 REMANESCENTE</t>
  </si>
  <si>
    <t>RN</t>
  </si>
  <si>
    <t>0137/2022</t>
  </si>
  <si>
    <t>MOSSORÓ</t>
  </si>
  <si>
    <t>08038.003294/2022-20</t>
  </si>
  <si>
    <r>
      <t> </t>
    </r>
    <r>
      <rPr>
        <sz val="9"/>
        <color rgb="FF000000"/>
        <rFont val="Times New Roman"/>
        <family val="1"/>
      </rPr>
      <t>COMPANHIA ENERGETICA DO RIO GRANDE DO NORTE COSERN</t>
    </r>
  </si>
  <si>
    <t>08.324.196/0001-81</t>
  </si>
  <si>
    <t>0063/2024</t>
  </si>
  <si>
    <t>08038.009240/2023-59</t>
  </si>
  <si>
    <t>PREGÃO 90013/2024</t>
  </si>
  <si>
    <t>MANACAPURU LIMPEZA E CONSERVAÇÃO LTDA</t>
  </si>
  <si>
    <t>17.303.236/0001-08</t>
  </si>
  <si>
    <t>0028/2024</t>
  </si>
  <si>
    <t>08038.004488/2024-12</t>
  </si>
  <si>
    <t>AREMAR MIX COMÉRCIO E MAMUTENÇÕES EM GERAL LTDA</t>
  </si>
  <si>
    <t>34.455.724/0001-41</t>
  </si>
  <si>
    <t>0231/2022</t>
  </si>
  <si>
    <t>NATAL</t>
  </si>
  <si>
    <t>08038.011206/2022-63</t>
  </si>
  <si>
    <t>COMPANHIA DE ÁGUAS E ESGOTOS DO RIO GRANDE DO NORTE</t>
  </si>
  <si>
    <t>08.334.385/0001-35</t>
  </si>
  <si>
    <t>0058/2022</t>
  </si>
  <si>
    <t>08038.000155/2022-44</t>
  </si>
  <si>
    <t>08.334.385/0001-36</t>
  </si>
  <si>
    <t>0239/2022</t>
  </si>
  <si>
    <t>08038.013500/2022-18</t>
  </si>
  <si>
    <t>0111/2022</t>
  </si>
  <si>
    <t>08038.000592/2022-68</t>
  </si>
  <si>
    <t>08.324.196/0001-82</t>
  </si>
  <si>
    <t>0078/2023</t>
  </si>
  <si>
    <t>08038.002339/2023-20</t>
  </si>
  <si>
    <t>PREGÃO 064/2023</t>
  </si>
  <si>
    <t>0029/2024</t>
  </si>
  <si>
    <t>08038.004636/2024-91</t>
  </si>
  <si>
    <t>0120/2023</t>
  </si>
  <si>
    <t>REFORMA PREDIAL</t>
  </si>
  <si>
    <t>08038.011691/2023-56</t>
  </si>
  <si>
    <t>PREGÃO  89/2023</t>
  </si>
  <si>
    <t>CAIÇARA CONSTRUTORA E INCORPORADORA LTDA</t>
  </si>
  <si>
    <t>21.005.185/0001-05</t>
  </si>
  <si>
    <t>0129/2022</t>
  </si>
  <si>
    <t>PETROLINA/PE E JUAZEIRO/BA</t>
  </si>
  <si>
    <t>08038.003423/2022-80</t>
  </si>
  <si>
    <t>COMPANHIA PERNAMBUCANA DE SANEAMENTO</t>
  </si>
  <si>
    <t>0138/2022</t>
  </si>
  <si>
    <t>08038.004545/2022-93</t>
  </si>
  <si>
    <t>COMPANHIA DE ENERGIA ELÉTRICA DE PERNAMBUCO - CELPE</t>
  </si>
  <si>
    <t>0077/2024</t>
  </si>
  <si>
    <t>08038.006240/2023-05</t>
  </si>
  <si>
    <t>PREGÃO 90035/2024</t>
  </si>
  <si>
    <t>ADRIMAX PRESTAÇÃO DE SERVIÇOS DE LIMPEZA E CONSERVAÇÃO LTDA</t>
  </si>
  <si>
    <t>13.452.604/0001-10</t>
  </si>
  <si>
    <t>0031/2024</t>
  </si>
  <si>
    <t>08038.004940/2024-38</t>
  </si>
  <si>
    <t>0059/2022</t>
  </si>
  <si>
    <t>RECIFE</t>
  </si>
  <si>
    <t>08038.001475/2022-11</t>
  </si>
  <si>
    <t>0067/2024</t>
  </si>
  <si>
    <t>LOCAÇÃO DE IMÓVEL
COMPARTILHAMENTO</t>
  </si>
  <si>
    <t>08038.005293/2024-81</t>
  </si>
  <si>
    <t>DEFENSORIA PÚBLICA DO ESTADO DE PERNAMBUCO (DPPE</t>
  </si>
  <si>
    <t>02.899.512/0001-67</t>
  </si>
  <si>
    <t>INDETERMINADO
36,57% - DPU</t>
  </si>
  <si>
    <t>5001/2024</t>
  </si>
  <si>
    <t>SERVIÇOS CONDOMINAIS</t>
  </si>
  <si>
    <t>08038.002076/2024-30</t>
  </si>
  <si>
    <t>INEXIGIBILIDADE 32/2024</t>
  </si>
  <si>
    <t>CONDOMÍNIO DO EDIFÍCIO EMPRESARIAL PROGRESSO</t>
  </si>
  <si>
    <t>51.916.762/0001-73</t>
  </si>
  <si>
    <t>0062/2024</t>
  </si>
  <si>
    <t>08172.000029/2023-26</t>
  </si>
  <si>
    <t>PREGÃO  90022/2024</t>
  </si>
  <si>
    <t>0105/2023</t>
  </si>
  <si>
    <t>08172.000031/2023-03</t>
  </si>
  <si>
    <t>PREGÃO 58/2023</t>
  </si>
  <si>
    <t>PROAÇÃO SEGURANÇA PRIVADA LTDA</t>
  </si>
  <si>
    <t>19.232.342/0001-65</t>
  </si>
  <si>
    <t>0220/2022</t>
  </si>
  <si>
    <t>08038.006204/2021-71</t>
  </si>
  <si>
    <t>EMPRESA BAIANA DE AGUAS E SANEAMENTO
AS</t>
  </si>
  <si>
    <t>0136/2022</t>
  </si>
  <si>
    <t>08038.003956/2022-61</t>
  </si>
  <si>
    <t>COMPANHIA DE ELETRICIDADE DO ESTADO DA BAHIA - COELBA</t>
  </si>
  <si>
    <t>0131/2020</t>
  </si>
  <si>
    <t>08038.003283/2020-88</t>
  </si>
  <si>
    <t>PREGÃO 76/2020</t>
  </si>
  <si>
    <t>0066/2024</t>
  </si>
  <si>
    <t>LIMPEZA DE CAIXAS DE GORDURA E CAIXA DE ESGOTO PREDIAL</t>
  </si>
  <si>
    <t>08178.000137/2024-20</t>
  </si>
  <si>
    <t>DISPENSA Nº 068/2024</t>
  </si>
  <si>
    <t>HZ MANUTENCAO E SERVICOS LTDA ME</t>
  </si>
  <si>
    <t>19.310.587/0001-63</t>
  </si>
  <si>
    <t>0065/2023</t>
  </si>
  <si>
    <t>08038.018372/2022-91</t>
  </si>
  <si>
    <t>PREGÃO 37/2023</t>
  </si>
  <si>
    <t>ELEVADORES VERSÁTIL LTDA ME</t>
  </si>
  <si>
    <t>15.026.942/0001-16</t>
  </si>
  <si>
    <t>MA</t>
  </si>
  <si>
    <t>0187/2022</t>
  </si>
  <si>
    <t>SÃO LUÍS</t>
  </si>
  <si>
    <t>08162.000023/2022-97</t>
  </si>
  <si>
    <t>CIA DE SANEAMENTO AMBIENTAL DO MARANHÃO</t>
  </si>
  <si>
    <t>06.274.757/0001-50</t>
  </si>
  <si>
    <t>0070/2022</t>
  </si>
  <si>
    <t>08038.000370/2022-45</t>
  </si>
  <si>
    <t>EQUATORIAL MARANHÃO DISTRIBUIDORA DE ENERGIA S/A</t>
  </si>
  <si>
    <t>06.272/793/0001-84</t>
  </si>
  <si>
    <t>0097/2025</t>
  </si>
  <si>
    <t>08038.002212/2025-72</t>
  </si>
  <si>
    <t>PREGÃO 90233/2024</t>
  </si>
  <si>
    <t>BRASIL NORTE EMPREENDIMENTOS LTDA</t>
  </si>
  <si>
    <t>11.144.330/0001-77</t>
  </si>
  <si>
    <t>0005/2024</t>
  </si>
  <si>
    <t>SOBRAL</t>
  </si>
  <si>
    <t>08038.006258/2023-07</t>
  </si>
  <si>
    <t>PREGÃO 96/2023</t>
  </si>
  <si>
    <t>SR TERCEIRIZAÇÕES EIRELI</t>
  </si>
  <si>
    <t>10.732.146/0001-85</t>
  </si>
  <si>
    <t>0095/2022</t>
  </si>
  <si>
    <t>08038.003406/2022-42</t>
  </si>
  <si>
    <t>SERVIÇO AUTÔNOMO DE ÁGUA E ESGOTO DE SAAE/SOBRAL</t>
  </si>
  <si>
    <t>07.817.778/0001-37</t>
  </si>
  <si>
    <t>0258/2022</t>
  </si>
  <si>
    <t>08038.018039/2021-09</t>
  </si>
  <si>
    <t>AGÊNCIA NACIONAL DE ENERGIA 
ELÉTRICA – ANEEL</t>
  </si>
  <si>
    <t>0040/2024</t>
  </si>
  <si>
    <t xml:space="preserve"> 08038.004713/2024-11</t>
  </si>
  <si>
    <t>3I COMÉRCIO E SERVIÇOS DE MANUTENÇÃO EM EQUIPAMENTOS ELETROMECÂNICOS LTDA</t>
  </si>
  <si>
    <t>18.431.758/0001-40</t>
  </si>
  <si>
    <t>PI</t>
  </si>
  <si>
    <t>0116/2022</t>
  </si>
  <si>
    <t xml:space="preserve">TERESINA </t>
  </si>
  <si>
    <t>08038.003950/2022-94</t>
  </si>
  <si>
    <t>AGUAS DE TERESINA SANEAMENTO SPE SA</t>
  </si>
  <si>
    <t>27.157.474/0001-06</t>
  </si>
  <si>
    <t>0134/2022</t>
  </si>
  <si>
    <t>08038.004233/2022-80</t>
  </si>
  <si>
    <t>EQUATORIAL PIAUI DISTRIB DE ENERGIA SA</t>
  </si>
  <si>
    <t>06.840.748/0001-89</t>
  </si>
  <si>
    <t>0038/2021</t>
  </si>
  <si>
    <t>08038.000202/2021-79</t>
  </si>
  <si>
    <t>PREGÃO 10/2021</t>
  </si>
  <si>
    <t>0007/2025</t>
  </si>
  <si>
    <t>08038.000327/2025-22</t>
  </si>
  <si>
    <t>CONCRETIZAR SERVIÇOS DE MANUTENÇÃO E LIMPEZA LTDA</t>
  </si>
  <si>
    <t>24.109.950/0001-17</t>
  </si>
  <si>
    <t>0022/2022</t>
  </si>
  <si>
    <t>08038.020601/2021-56</t>
  </si>
  <si>
    <t>PREGÃO 06/2022</t>
  </si>
  <si>
    <t>ICP ELEVADORES SERVIÇOS E COMÉRCIO LTDA</t>
  </si>
  <si>
    <t>23.146.506/0001-09</t>
  </si>
  <si>
    <t>0103/2021</t>
  </si>
  <si>
    <t>08038.013065/2021-32</t>
  </si>
  <si>
    <t>PREGÃO 72/2021</t>
  </si>
  <si>
    <t xml:space="preserve"> CASTELO SERVIÇOS DE SEGURANÇA LTDA</t>
  </si>
  <si>
    <t>14.151.949/0001-05</t>
  </si>
  <si>
    <t>0081/2023</t>
  </si>
  <si>
    <t>ARACAJU
ARAPIRACA
CARUARU
FEIRA DE SANTANA
MACEIÓ
PETROLINA/PE E JUAZEIRO/BA
RECIFE
SALVADOR
VITÓRIA DA CONQUISTA
CAMPINA GRANDE
FORTALEZA
JOÃO PESSOA
MOSSORÓ
NATAL
SÃO LUIZ
SOBRAL
TERESINA</t>
  </si>
  <si>
    <t>LOCAÇÃO DE VEÍCULOS – VANS EXECUTIVAS E CAMINHONETES COM TRAÇÃO 4X4 - POR DIÁRIA - COM MOTORISTA</t>
  </si>
  <si>
    <t>08038.008536/2023-52</t>
  </si>
  <si>
    <t>PREGÃO 56/2023</t>
  </si>
  <si>
    <t>DL LOCAÇÕES LTDA</t>
  </si>
  <si>
    <t>10.600.287/0001-44</t>
  </si>
  <si>
    <t>EMPRESA BAIANA DE ÁGUAS E SANEAMENTO AS</t>
  </si>
  <si>
    <t>0149/2022</t>
  </si>
  <si>
    <t>08038.001923/2022-87</t>
  </si>
  <si>
    <t>15.139/629/0001-94</t>
  </si>
  <si>
    <t>0203/2022</t>
  </si>
  <si>
    <t xml:space="preserve">08038.002311/2022-10
</t>
  </si>
  <si>
    <t>PREGÃO 64/2022</t>
  </si>
  <si>
    <t>SUL</t>
  </si>
  <si>
    <t>SC</t>
  </si>
  <si>
    <t>0263/2022</t>
  </si>
  <si>
    <t>CRICIÚMA</t>
  </si>
  <si>
    <t>08038.011743/2022-11</t>
  </si>
  <si>
    <t>PREGÃO N° 104/2022</t>
  </si>
  <si>
    <t>VIGILÂNCIA TRIÂNGULO LTDA</t>
  </si>
  <si>
    <t>79.894.168/0001-48</t>
  </si>
  <si>
    <t>FLORIANÓPOLIS</t>
  </si>
  <si>
    <t>JOINVILLE</t>
  </si>
  <si>
    <t>RS</t>
  </si>
  <si>
    <t>0085/2022</t>
  </si>
  <si>
    <t>BAGÉ</t>
  </si>
  <si>
    <t>08038.000990/2022-84</t>
  </si>
  <si>
    <t>DEPARTAMENTO DE ÁGUA E ESGOTOS DE BAGÉ</t>
  </si>
  <si>
    <t>90.940.172/0001-38</t>
  </si>
  <si>
    <t>0050/2024</t>
  </si>
  <si>
    <t>08038.004937/2024-14</t>
  </si>
  <si>
    <t>PREGÃO Nº  90012/2024</t>
  </si>
  <si>
    <t xml:space="preserve"> GÊNESIS COMÉRCIO E MANUTENÇÕES LTDA</t>
  </si>
  <si>
    <t>0121/2022</t>
  </si>
  <si>
    <t>08038.003388/2022-07</t>
  </si>
  <si>
    <t>COMPANHIA ESTADUAL DE DISTRIBUIÇÃO DE ENERGIA ELÉTRICA - CEEE</t>
  </si>
  <si>
    <t>00.375.114/0001-16</t>
  </si>
  <si>
    <t>0022/2023</t>
  </si>
  <si>
    <t>08038.015651/2022-01</t>
  </si>
  <si>
    <t>PREGÃO Nº 005/2023</t>
  </si>
  <si>
    <t>0072/2022</t>
  </si>
  <si>
    <t>CANOAS</t>
  </si>
  <si>
    <t>08038.001446/2022-50</t>
  </si>
  <si>
    <t>RGE SUL DISTRIBUIDORA DE ENERGIA S.A</t>
  </si>
  <si>
    <t>02.016.440/0001-62</t>
  </si>
  <si>
    <t>0045/2023</t>
  </si>
  <si>
    <t>08038.017703/2022-75</t>
  </si>
  <si>
    <t>PREGÃO N° 30/2023</t>
  </si>
  <si>
    <t>PR</t>
  </si>
  <si>
    <t>0126/2022</t>
  </si>
  <si>
    <t>CASCAVEL</t>
  </si>
  <si>
    <t>08038.003389/2022-43</t>
  </si>
  <si>
    <t>COMPANHIA DE SANEAMENTO DO PARANÁ - SANEPAR</t>
  </si>
  <si>
    <t>76.484.013/0001-45</t>
  </si>
  <si>
    <t>0076/2022</t>
  </si>
  <si>
    <t>08145.000231/2022-02</t>
  </si>
  <si>
    <t>COPEL DISTRIBUIÇÃO S.A</t>
  </si>
  <si>
    <t>04.368.898/0001-06</t>
  </si>
  <si>
    <t>0002/2025</t>
  </si>
  <si>
    <t>08038.000545/2024-86</t>
  </si>
  <si>
    <t>PREGÃO N° 90040/2024</t>
  </si>
  <si>
    <t>0086/2022</t>
  </si>
  <si>
    <t>08038.000996/2022-51</t>
  </si>
  <si>
    <t>S.A-CELESC</t>
  </si>
  <si>
    <t>08.336.783/0001-90</t>
  </si>
  <si>
    <t>0004/2021</t>
  </si>
  <si>
    <t>08038.064224/2020-86</t>
  </si>
  <si>
    <t>PREGÃO N° 132/2020</t>
  </si>
  <si>
    <t>0034/2024</t>
  </si>
  <si>
    <t xml:space="preserve"> 08038.004522/2024-41</t>
  </si>
  <si>
    <t>3I COMÉRCIO E SERVIÇOS DE MANUTENÇÃO EM EQUIPAMENTOS ELETRO-MECÂNICOS LTDA</t>
  </si>
  <si>
    <t>0102/2022</t>
  </si>
  <si>
    <t>CURITIBA</t>
  </si>
  <si>
    <t>08198.000011/2022-55</t>
  </si>
  <si>
    <t>CIA SANEAMENTO PARANÁ SANEPAR</t>
  </si>
  <si>
    <t>0120/2022</t>
  </si>
  <si>
    <t>08038.003387/2022-54</t>
  </si>
  <si>
    <t>AGÊNCIA NACIONAL DE ENERGIA ELÉTRICA – ANEEL</t>
  </si>
  <si>
    <t>02.270.669/0001-29</t>
  </si>
  <si>
    <t>0064/2024</t>
  </si>
  <si>
    <t>08038.009471/2023-62</t>
  </si>
  <si>
    <t xml:space="preserve"> PREGÃO N.º 90021/2024</t>
  </si>
  <si>
    <t>0105/2022</t>
  </si>
  <si>
    <t>08038.007400/2021-63</t>
  </si>
  <si>
    <t>DISPENSA N°71/2021</t>
  </si>
  <si>
    <t>ELEVADORES CONISTEL LTDA</t>
  </si>
  <si>
    <t>78.708.625/0001-08</t>
  </si>
  <si>
    <t>12 MESES  REMANESCENTE</t>
  </si>
  <si>
    <t>0115/2023</t>
  </si>
  <si>
    <t>08038.010522/2023-07</t>
  </si>
  <si>
    <t>COMPANHIA CATARINENSE DE AGUÁS E SANEAMENTO - CASAN</t>
  </si>
  <si>
    <t xml:space="preserve"> 82.508.433/0001-17</t>
  </si>
  <si>
    <t>0161/2022</t>
  </si>
  <si>
    <t>08038.017968/2021-92</t>
  </si>
  <si>
    <t xml:space="preserve"> 82.508.433/0001-18</t>
  </si>
  <si>
    <t>0111/2023</t>
  </si>
  <si>
    <t>08038.010536/2023-12</t>
  </si>
  <si>
    <t>CELESC DISTRIBUICAO S.A</t>
  </si>
  <si>
    <t xml:space="preserve"> 08.336.783/0001-90</t>
  </si>
  <si>
    <t>0071/2024</t>
  </si>
  <si>
    <t>08038.011898/2023-21</t>
  </si>
  <si>
    <t>PREGÃO Nº 90026/2024</t>
  </si>
  <si>
    <t>CORESE SERVIÇOS ESPECIALIZADOS LTDA-ME</t>
  </si>
  <si>
    <t>0039/2024</t>
  </si>
  <si>
    <t>08038.004523/2024-95</t>
  </si>
  <si>
    <t>GENESIS COMERCIO E MANUTENCOES LTDA – ME</t>
  </si>
  <si>
    <t>0104/2023</t>
  </si>
  <si>
    <t>08038.016635/2022-27</t>
  </si>
  <si>
    <t>PREGÃO Nº 45/2023</t>
  </si>
  <si>
    <t>GGH ASCENSORES LTDA</t>
  </si>
  <si>
    <t>29.081.505/0001-00</t>
  </si>
  <si>
    <t>0087/2022</t>
  </si>
  <si>
    <t>FOZ DO IGUAÇU</t>
  </si>
  <si>
    <t>08038.001675/2022-74</t>
  </si>
  <si>
    <t>0078/2022</t>
  </si>
  <si>
    <t>08038.001676/2022-19</t>
  </si>
  <si>
    <t>COPEL DISTRIBUICAO S.A</t>
  </si>
  <si>
    <t>0112/2023</t>
  </si>
  <si>
    <t>08038.004042/2023-07</t>
  </si>
  <si>
    <t>PREGÃO Nº 091/2019</t>
  </si>
  <si>
    <t>0026/2024</t>
  </si>
  <si>
    <t>08038.004493/2024-17</t>
  </si>
  <si>
    <t>GÊNESIS COMÉRCIO E MANUTENÇÕES LTDA</t>
  </si>
  <si>
    <t>0096/2023</t>
  </si>
  <si>
    <t>08038.004118/2023-96</t>
  </si>
  <si>
    <t>PREGÃO Nº 073/2023/2019</t>
  </si>
  <si>
    <t>A.S.R COMERCIO E PRESTADORA DE SERVICOS DE ENGENHARIA LTDA</t>
  </si>
  <si>
    <t>10.965.978/0001-41</t>
  </si>
  <si>
    <t>0084/2022</t>
  </si>
  <si>
    <t>08038.001545/2022-31</t>
  </si>
  <si>
    <t>COMPANHIA ÁGUAS DE JOINVILLE</t>
  </si>
  <si>
    <t>07.226.794/0001-55</t>
  </si>
  <si>
    <t>0039/2022</t>
  </si>
  <si>
    <t>08038.001432/2022-36</t>
  </si>
  <si>
    <t>CELESC DISTRIBUIÇÃO S.A</t>
  </si>
  <si>
    <t>5001/2025</t>
  </si>
  <si>
    <t>08038.000328/2025-77</t>
  </si>
  <si>
    <t>08.336.783/0001-91</t>
  </si>
  <si>
    <t>0028/2023</t>
  </si>
  <si>
    <t>08038.017845/2022-32</t>
  </si>
  <si>
    <t>PREGÃO Nº 16/2023</t>
  </si>
  <si>
    <t>0051/2024</t>
  </si>
  <si>
    <t>08038.004524/2024-30</t>
  </si>
  <si>
    <t>0088/2023</t>
  </si>
  <si>
    <t>08038.004603/2023-60</t>
  </si>
  <si>
    <t>DISPENSA Nº 155/2023</t>
  </si>
  <si>
    <t>VETRA ELEVADORES LTDA</t>
  </si>
  <si>
    <t>25.093.896/0001-21</t>
  </si>
  <si>
    <t>0049/2022</t>
  </si>
  <si>
    <t>LONDRINA</t>
  </si>
  <si>
    <t>08038.001945/2022-47</t>
  </si>
  <si>
    <t>0088/2022</t>
  </si>
  <si>
    <t>08038.001538/2022-30</t>
  </si>
  <si>
    <t>0055/2023</t>
  </si>
  <si>
    <t>08038.000336/2023-51</t>
  </si>
  <si>
    <t>PREGÃO  Nº 42/2023</t>
  </si>
  <si>
    <t>0037/2024</t>
  </si>
  <si>
    <t>08038.004496/2024-51</t>
  </si>
  <si>
    <t>PREGÃO Nº  90012/2021</t>
  </si>
  <si>
    <t>0113/2022</t>
  </si>
  <si>
    <t>PELOTAS</t>
  </si>
  <si>
    <t>08038.001843/2022-21</t>
  </si>
  <si>
    <t>SERVIÇO AUTÔNOMO DE SANEAMENTO DE PELOTAS - SANEP</t>
  </si>
  <si>
    <t>92.220.862/0001-48</t>
  </si>
  <si>
    <t>0041/2022</t>
  </si>
  <si>
    <t>08038.001774/2022-56</t>
  </si>
  <si>
    <t>08.467.115/0001-00</t>
  </si>
  <si>
    <t>0199/2022</t>
  </si>
  <si>
    <t>08038.000406/2022-91</t>
  </si>
  <si>
    <t>PREGÃO Nº 056/2022</t>
  </si>
  <si>
    <t>LIDERANÇA LIMPEZA E CONSERVAÇÃO LTDA</t>
  </si>
  <si>
    <t xml:space="preserve"> 00.482.840/0001-38</t>
  </si>
  <si>
    <t>0038/2024</t>
  </si>
  <si>
    <t>08038.004521/2024-04</t>
  </si>
  <si>
    <t>AREMAR MIX COMERCIO E MANUTENÇOES EM GERAL LTDA</t>
  </si>
  <si>
    <t>S/N</t>
  </si>
  <si>
    <t>PORTO ALEGRE</t>
  </si>
  <si>
    <t>LOCAÇÃO DE IMÓVEL
 COMODATO COM SERPRO</t>
  </si>
  <si>
    <t>08038.002144/2024-61</t>
  </si>
  <si>
    <t>DISPENSADO</t>
  </si>
  <si>
    <t>SERVIÇO
FEDERAL DE PROCESSAMENTO DE DADOS (SERPRO)</t>
  </si>
  <si>
    <t xml:space="preserve"> 33.683.111/0011-70</t>
  </si>
  <si>
    <t>0028/2022</t>
  </si>
  <si>
    <t>RIO GRANDE</t>
  </si>
  <si>
    <t>08038.000940/2022-05</t>
  </si>
  <si>
    <t>0079/2024</t>
  </si>
  <si>
    <t>08038.003866/2023-51</t>
  </si>
  <si>
    <t>PREGÃO Nº 90036/2024</t>
  </si>
  <si>
    <t>0024/2024</t>
  </si>
  <si>
    <t>08038.004518/2024-82</t>
  </si>
  <si>
    <t>AREMAR MIX COMÉRCIO E MANUTENÇÕES EM GERAL LTDA</t>
  </si>
  <si>
    <t>0029/2022</t>
  </si>
  <si>
    <t>SANTA MARIA</t>
  </si>
  <si>
    <t>08038.001906/2022-40</t>
  </si>
  <si>
    <t>0241/2022</t>
  </si>
  <si>
    <t>08038.007708/2022-90</t>
  </si>
  <si>
    <t>PREGÃO Nº 94/2022</t>
  </si>
  <si>
    <t>ACK SERVIÇO EMPRESARIAL EIRELI</t>
  </si>
  <si>
    <t>0025/2024</t>
  </si>
  <si>
    <t>08038.004519/2024-27</t>
  </si>
  <si>
    <t>0083/2022</t>
  </si>
  <si>
    <t>UMUARAMA</t>
  </si>
  <si>
    <t>08038.018016/2021-96</t>
  </si>
  <si>
    <t>COMPANHIA DE SANEAMENTO DO PARANÁ</t>
  </si>
  <si>
    <t>0082/2022</t>
  </si>
  <si>
    <t>08038.018062/2021-95</t>
  </si>
  <si>
    <t>COPEL DISTRIBUIÇÃO S.A.</t>
  </si>
  <si>
    <t>0024/2023</t>
  </si>
  <si>
    <t>08038.013182/2022-87</t>
  </si>
  <si>
    <t>PREGÃO Nº 10/2023</t>
  </si>
  <si>
    <t>0109/2022</t>
  </si>
  <si>
    <t>URUGUAIANA</t>
  </si>
  <si>
    <t>08038.003393/2022-10</t>
  </si>
  <si>
    <t>BRK AMBIENTAL URUGUAIANA S A</t>
  </si>
  <si>
    <t>13.015.402/0001-01</t>
  </si>
  <si>
    <t>0042/2022</t>
  </si>
  <si>
    <t>08038.000016/2022-11</t>
  </si>
  <si>
    <t>0002/2024</t>
  </si>
  <si>
    <t xml:space="preserve"> 08038.004322/2023-15</t>
  </si>
  <si>
    <t>PREGÃO Nº 086/2023</t>
  </si>
  <si>
    <t>0036/2024</t>
  </si>
  <si>
    <t>08038.004520/2024-51</t>
  </si>
  <si>
    <t>SUDESTE</t>
  </si>
  <si>
    <t>SP</t>
  </si>
  <si>
    <t>0068/2024</t>
  </si>
  <si>
    <t>CAMPINAS
GUARULHOS
MOGI  DAS CRUZES
REGISTRO
SANTOS E SÃO VICENTEE
SÃO BERNANDO DO CAMPO (ABC PAULISTA)
SÃO JOSÉ DOS CAMPOS
SOROCABA</t>
  </si>
  <si>
    <t>08038.002528/2024-83</t>
  </si>
  <si>
    <t>PREGÃO Nº 90029/2024</t>
  </si>
  <si>
    <t>RIOFORTE VIGILÂNCIA E SEGURANÇA PRIVADA LTDA</t>
  </si>
  <si>
    <t>17.324.127/0003-20</t>
  </si>
  <si>
    <t xml:space="preserve">SP </t>
  </si>
  <si>
    <t>0111/2025</t>
  </si>
  <si>
    <r>
      <t xml:space="preserve">SÃO BERNARDO DO CAMPO </t>
    </r>
    <r>
      <rPr>
        <b/>
        <sz val="9"/>
        <color rgb="FFFF0000"/>
        <rFont val="Times New Roman"/>
        <family val="1"/>
      </rPr>
      <t>(ABC PAULISTA)</t>
    </r>
  </si>
  <si>
    <t>08038.004314/2025-22</t>
  </si>
  <si>
    <t>PREGÃO Nº 90016/2025</t>
  </si>
  <si>
    <t>PRATA SERVICOS ADMINISTRATIVOS LTDA</t>
  </si>
  <si>
    <t>01.687.204/0001-05</t>
  </si>
  <si>
    <t>MG</t>
  </si>
  <si>
    <t>0109/2020</t>
  </si>
  <si>
    <t>BELO HORIZONTE
GOVERNADOR VALADARES
JUIZ DE FORA
MONTES CLAROS
UBERLÂNDIA</t>
  </si>
  <si>
    <t>08038.015754/2020-09</t>
  </si>
  <si>
    <t>PREGÃO Nº 56/2020</t>
  </si>
  <si>
    <t>COLABORE - SERVIÇOS DE VIGILANCIA</t>
  </si>
  <si>
    <t>11.499.545/0001-00</t>
  </si>
  <si>
    <t>RJ</t>
  </si>
  <si>
    <t>0001/2023</t>
  </si>
  <si>
    <t>BAIXADA FLUMINENSE</t>
  </si>
  <si>
    <t>08038.025785/2021-41</t>
  </si>
  <si>
    <t>PREGÃO N° 92/2022</t>
  </si>
  <si>
    <t>30 MESES 
 90 DIÁRIAS</t>
  </si>
  <si>
    <t>BELO HORIZONTE</t>
  </si>
  <si>
    <t>JUIZ DE FORA</t>
  </si>
  <si>
    <t>NITERÓI</t>
  </si>
  <si>
    <t>RIO DE JANEIRO</t>
  </si>
  <si>
    <t>ES</t>
  </si>
  <si>
    <t>VITÓRIA</t>
  </si>
  <si>
    <t>0036/2023</t>
  </si>
  <si>
    <t>AGENTE DE PORTARIA</t>
  </si>
  <si>
    <t>08038.013883/2021-35</t>
  </si>
  <si>
    <t>PREGÃO Nº 017/2023</t>
  </si>
  <si>
    <t>CONSTRUIR FACILITIES ARQUITETURA E SERVIÇOS LTDA</t>
  </si>
  <si>
    <t>42.407.445/0001-30</t>
  </si>
  <si>
    <t>MANUTENÇÃO PREDIAL</t>
  </si>
  <si>
    <t>DETETIZAÇÃO E CONTROLE DE PRAGAS</t>
  </si>
  <si>
    <t>CFTV E CONTROLE DE ACESSOS</t>
  </si>
  <si>
    <t>RECARGA DE EXTINTORES</t>
  </si>
  <si>
    <t>CHAVEIRO</t>
  </si>
  <si>
    <t>5000/2025</t>
  </si>
  <si>
    <t>08038.010211/2024-11</t>
  </si>
  <si>
    <t>AGUAS DO RIO 4 SPE S.A</t>
  </si>
  <si>
    <t>42.644.220/0001-07</t>
  </si>
  <si>
    <t>0091/2022</t>
  </si>
  <si>
    <t>08038.006005/2021-63</t>
  </si>
  <si>
    <t>LIGHT - SERVIÇOS DE ELETRICIDADE S.A</t>
  </si>
  <si>
    <t>60.444.437/0001-46</t>
  </si>
  <si>
    <t>1013/2023</t>
  </si>
  <si>
    <t>08038.007794/2022-31</t>
  </si>
  <si>
    <t>PREGÃO N° 86/2022</t>
  </si>
  <si>
    <t>M.C. SERVIÇOS EM LIMPEZA LTDA EPP</t>
  </si>
  <si>
    <t xml:space="preserve"> 07.260.872/0001-38</t>
  </si>
  <si>
    <t>18 MESES 
REMANESCENTE</t>
  </si>
  <si>
    <t>0001/2025</t>
  </si>
  <si>
    <t>BAIXADA FLUMINENSE
VOLTA REDONDA</t>
  </si>
  <si>
    <t>08038.006141/2024-04</t>
  </si>
  <si>
    <t>PREGÃO Nº 90054/2024</t>
  </si>
  <si>
    <t>BRASVIP SEGURANÇA PRIVADA LTDA</t>
  </si>
  <si>
    <t>39.595.917/0001-11</t>
  </si>
  <si>
    <t>0009/2023</t>
  </si>
  <si>
    <t>08038.011223/2022-09</t>
  </si>
  <si>
    <t>PREGÃO N° 114/2022</t>
  </si>
  <si>
    <t>ECOLOG LOGISTICA SUSTENTAVEL E FACILITIES LTDA</t>
  </si>
  <si>
    <t>25.117.817/0001-75</t>
  </si>
  <si>
    <t>0029/2023</t>
  </si>
  <si>
    <t>08038.012742/2022-86</t>
  </si>
  <si>
    <t>PREGÃO Nº 06/2023</t>
  </si>
  <si>
    <t>ELEVADORES MILÊNIO EIRELI</t>
  </si>
  <si>
    <t>03.539.398/0001-27</t>
  </si>
  <si>
    <t>0018/2024</t>
  </si>
  <si>
    <t>08038.004535/2024-10</t>
  </si>
  <si>
    <t>0046/2022</t>
  </si>
  <si>
    <t>08038.001274/2022-14</t>
  </si>
  <si>
    <t>COMPANHIA DE SANEAMENTO DE MINAS GERAIS COPAS</t>
  </si>
  <si>
    <t>17.281.106/0001-03</t>
  </si>
  <si>
    <t>0108/2022</t>
  </si>
  <si>
    <t>08038.003421/2022-91</t>
  </si>
  <si>
    <t xml:space="preserve"> CEMIG DISTRIBUIÇÃO S.A</t>
  </si>
  <si>
    <t>06.981.180/0001-16</t>
  </si>
  <si>
    <t>0013/2024</t>
  </si>
  <si>
    <t>08139.000055/2024-41</t>
  </si>
  <si>
    <t>DISPENSA Nº 041/2024</t>
  </si>
  <si>
    <t>UNIVERSO DAS BOMBAS LTDA ME</t>
  </si>
  <si>
    <t>07.227.688/0001-96</t>
  </si>
  <si>
    <t>RIBEIRÃO PRETO</t>
  </si>
  <si>
    <t xml:space="preserve">LOCAÇÃO DE IMÓVEL
IMÓVEL COMPARTILHADO </t>
  </si>
  <si>
    <t>08038.005693/2018-49</t>
  </si>
  <si>
    <t>SUPERINTENDÊNCIA REGIONAL DO TRABALHO SÃO PAULO
RIBEIRÃO PRETO</t>
  </si>
  <si>
    <t>37.115.367/0030-03</t>
  </si>
  <si>
    <t>5000/2023</t>
  </si>
  <si>
    <t>CAMPINAS</t>
  </si>
  <si>
    <t>08038.000263/2023-06</t>
  </si>
  <si>
    <t>SOCIEDADE DE ABASTECIMENTO DE AGUA E SANEAMENTO S/A. SANASA CAMPINAS</t>
  </si>
  <si>
    <t>46.119.855/0001-37</t>
  </si>
  <si>
    <t>5001/2023</t>
  </si>
  <si>
    <t xml:space="preserve">08038.000493/2023-67 </t>
  </si>
  <si>
    <t>AGÊNCIA NACIONAL DE ENERGIA ELÉTRICA –
ANEEL</t>
  </si>
  <si>
    <t xml:space="preserve"> 00.375.114/0001-16</t>
  </si>
  <si>
    <t>0251/2022</t>
  </si>
  <si>
    <t>08038.008915/2022-61</t>
  </si>
  <si>
    <t>PREGÃO Nº 95/2022</t>
  </si>
  <si>
    <t>0014/2024</t>
  </si>
  <si>
    <t>08038.004492/2024-72</t>
  </si>
  <si>
    <t>PREGÃO Nº   90012/2024</t>
  </si>
  <si>
    <t>GENESIS COMÉRCIO E MANUTENCÕES LTDA-ME,</t>
  </si>
  <si>
    <t>0102/2023</t>
  </si>
  <si>
    <t>08038.005429/2023-72</t>
  </si>
  <si>
    <t>PREGÃO Nº 72/2023</t>
  </si>
  <si>
    <t>A.S.R COMÉRCIO E PRESTADORA DE SERVIÇOS DE ENGENHARIA LTDA</t>
  </si>
  <si>
    <t>5006/2023</t>
  </si>
  <si>
    <t>GOVERNADOR VALADARES</t>
  </si>
  <si>
    <t>08153.000041/2023-69</t>
  </si>
  <si>
    <t>CEMIG DISTRIBUIÇÃO S.A</t>
  </si>
  <si>
    <t>5002/2024</t>
  </si>
  <si>
    <t>08038.003920/2024-40</t>
  </si>
  <si>
    <t>AGUAS DE VALADARES SPE S.A.</t>
  </si>
  <si>
    <t>53.667.104/0001-10</t>
  </si>
  <si>
    <t>0065/2024</t>
  </si>
  <si>
    <t>08038.008654/2023-61</t>
  </si>
  <si>
    <t>PREGÃO Nº 90014/2024</t>
  </si>
  <si>
    <t>0017/2024</t>
  </si>
  <si>
    <t>08038.004534/2024-75</t>
  </si>
  <si>
    <t>0073/2022</t>
  </si>
  <si>
    <t>GUARULHOS</t>
  </si>
  <si>
    <t>08038.001211/2022-68</t>
  </si>
  <si>
    <t>CIA DE SANEAMENTO BÁSICO DO ESTADO DE SÃO PAULO</t>
  </si>
  <si>
    <t>43.776.517/0001-80</t>
  </si>
  <si>
    <t>0090/2022</t>
  </si>
  <si>
    <t>08038.018292/2021-54</t>
  </si>
  <si>
    <t>EDP SÃO PAULODISTRIBUIÇÃO DE ENERGIA</t>
  </si>
  <si>
    <t>02.302.100/0001-06</t>
  </si>
  <si>
    <t>0019/2022</t>
  </si>
  <si>
    <t>08038.023332/2021-80</t>
  </si>
  <si>
    <t>PREGÃO Nº 05/2022</t>
  </si>
  <si>
    <t>08.704.691-0001/16</t>
  </si>
  <si>
    <t>0042/2024</t>
  </si>
  <si>
    <t>08038.004670/2024-65</t>
  </si>
  <si>
    <t>0044/2022</t>
  </si>
  <si>
    <t>08038.025937/2021-13</t>
  </si>
  <si>
    <t>0075/2024</t>
  </si>
  <si>
    <t>08038.009555/2023-04</t>
  </si>
  <si>
    <t>PREGÃO Nº 900028/2024</t>
  </si>
  <si>
    <t xml:space="preserve"> 11.027.601/0001-04</t>
  </si>
  <si>
    <t>0019/2024</t>
  </si>
  <si>
    <t>08038.004539/2024-06</t>
  </si>
  <si>
    <t>PREGÃO Nº 900012/2024</t>
  </si>
  <si>
    <t>0155/2022</t>
  </si>
  <si>
    <t>LINHARES</t>
  </si>
  <si>
    <t>08038.003691/2022-00</t>
  </si>
  <si>
    <t>SERVIÇO AUTÔNOMO DE ÁGUA E ESGOTO DE LINHARES- SAAE</t>
  </si>
  <si>
    <t>27.834.977/0001-60</t>
  </si>
  <si>
    <t>0048/2022</t>
  </si>
  <si>
    <t>08038.000593/2022-11</t>
  </si>
  <si>
    <t>EDP ESPÍRITO SANTO DISTRIBUIÇÃO DE ENERGIA S.A.</t>
  </si>
  <si>
    <t>28.152.650/0001-71</t>
  </si>
  <si>
    <t>0059/2024</t>
  </si>
  <si>
    <t>08038.011556/2023-19</t>
  </si>
  <si>
    <t>PREGÃO Nº 90019/2024</t>
  </si>
  <si>
    <t>0053/2024</t>
  </si>
  <si>
    <t>08038.001821/2024-2</t>
  </si>
  <si>
    <t>PREGÃO Nº 90018/2024</t>
  </si>
  <si>
    <t>ALFORGE SEGURANÇA PATRIMONIAL LTDA</t>
  </si>
  <si>
    <t xml:space="preserve"> 13.343.833/0003-69</t>
  </si>
  <si>
    <t>0184/2022</t>
  </si>
  <si>
    <t>MOGI DAS CRUZES</t>
  </si>
  <si>
    <t>08038.001061/2022-92</t>
  </si>
  <si>
    <t>SERVIÇO MUNICIPAL DE ÁGUAS E ESGOTOS - SEMAE</t>
  </si>
  <si>
    <t>52.561.214/0001-30</t>
  </si>
  <si>
    <t>0047/2022</t>
  </si>
  <si>
    <t>08038.001447/2022-02</t>
  </si>
  <si>
    <t>EDP BANDEIRANTE ENERGIA S/A</t>
  </si>
  <si>
    <t>0115/2022</t>
  </si>
  <si>
    <t>08038.000234/2022-55</t>
  </si>
  <si>
    <t>PREGÃO Nº 33/2022</t>
  </si>
  <si>
    <t>0090/2025</t>
  </si>
  <si>
    <t>08038.001552/2025-86</t>
  </si>
  <si>
    <t xml:space="preserve"> ETICHUSS COMÉRCIO E SERVIÇOS DE MANUTENÇÃO E TECNOLOGIA LTDA</t>
  </si>
  <si>
    <t>17.067.116/0001-40</t>
  </si>
  <si>
    <t>5003/2025</t>
  </si>
  <si>
    <t>MONTES CLAROS</t>
  </si>
  <si>
    <t>08038.004103/2025-90</t>
  </si>
  <si>
    <t>0164/2022</t>
  </si>
  <si>
    <t>08038.001056/2022-80</t>
  </si>
  <si>
    <t>PREGÃO Nº 42/2022</t>
  </si>
  <si>
    <t>MESQUITA SOLUÇÕES EMPRESARIAIS LTDA</t>
  </si>
  <si>
    <t>17.105.516/0001-01</t>
  </si>
  <si>
    <t>0156/2022</t>
  </si>
  <si>
    <t>08038.021376/2021-75</t>
  </si>
  <si>
    <t>ÁGUAS DE NITERÓI</t>
  </si>
  <si>
    <t>02.150.336/0001-66</t>
  </si>
  <si>
    <t>0075/2022</t>
  </si>
  <si>
    <t>08165.000013/2022-21</t>
  </si>
  <si>
    <t>AMPLA ENERGIA E SERVIÇOS S.A</t>
  </si>
  <si>
    <t>33.050.071/0001-58</t>
  </si>
  <si>
    <t>0070/2024</t>
  </si>
  <si>
    <t>08038.001879/2024-77</t>
  </si>
  <si>
    <t>PREGÃO Nº 90030/2024</t>
  </si>
  <si>
    <t>0089/2025</t>
  </si>
  <si>
    <t>08038.001547/2025-73</t>
  </si>
  <si>
    <t>0162/2022</t>
  </si>
  <si>
    <t>REGISTRO</t>
  </si>
  <si>
    <t>08038.003426/2022-13</t>
  </si>
  <si>
    <t>COMPANHIA DE SANEAMENTO BÁSICO DO ESTADO DE SÃO PAULO - SABESP</t>
  </si>
  <si>
    <t>43.776.517.0001-80</t>
  </si>
  <si>
    <t>0043/2022</t>
  </si>
  <si>
    <t>08038.001365/2022-50</t>
  </si>
  <si>
    <t>ELEKTRO REDES S.A</t>
  </si>
  <si>
    <t>02.328.280/0001-97</t>
  </si>
  <si>
    <t>0087/2025</t>
  </si>
  <si>
    <t xml:space="preserve"> 08038.001264/2025-21</t>
  </si>
  <si>
    <t>PREGÃO Nº 90002/2025</t>
  </si>
  <si>
    <t>LG ADMINISTRADORA DE SERVIÇOS LTDA</t>
  </si>
  <si>
    <t>60 MESES
INICIO EM 01/04/2025</t>
  </si>
  <si>
    <t>0041/2024</t>
  </si>
  <si>
    <t>08038.004671/2024-18</t>
  </si>
  <si>
    <t>0153/2022</t>
  </si>
  <si>
    <t>08038.004025/2021-08</t>
  </si>
  <si>
    <t>LIGHT SERVIÇOS DE ELETRICIDADE SA</t>
  </si>
  <si>
    <t>0055/2022</t>
  </si>
  <si>
    <t>SANTOS E SÃO VICENTE</t>
  </si>
  <si>
    <t>08038.018085/2021-08</t>
  </si>
  <si>
    <t>COMPANHIA DE SANEAMENTO BÁSICO DO ESTADO DE SÃO PAULO– SABESP</t>
  </si>
  <si>
    <t>0131/2022</t>
  </si>
  <si>
    <t>08038.001223/2022-92</t>
  </si>
  <si>
    <t>COMP PIRATININGA DE FORÇA E LUZ</t>
  </si>
  <si>
    <t>04.172.213/0001-51</t>
  </si>
  <si>
    <t>0169/2021</t>
  </si>
  <si>
    <t>08038.017417/2021-29</t>
  </si>
  <si>
    <t>PREGÃO N° 83/2021</t>
  </si>
  <si>
    <t xml:space="preserve">SUDESTE </t>
  </si>
  <si>
    <t>0044/2024</t>
  </si>
  <si>
    <t>08038.004811/2024-40</t>
  </si>
  <si>
    <t>0043/2024</t>
  </si>
  <si>
    <t>SÃO BERNARDO DO CAMPO (ABC PAULISTA)</t>
  </si>
  <si>
    <t>08038.004769/2024-67</t>
  </si>
  <si>
    <t>5004/2023</t>
  </si>
  <si>
    <t>08038.010361/2023-43</t>
  </si>
  <si>
    <t>ELETROPAULO METROPOLITANA ELETRICIDADE DE SÃO PAULOS.A</t>
  </si>
  <si>
    <t>61.695.227/0001-93</t>
  </si>
  <si>
    <t>0107/2022</t>
  </si>
  <si>
    <t>SÃO JOSÉ DOS CAMPOS</t>
  </si>
  <si>
    <t>08038.003412/2022-08</t>
  </si>
  <si>
    <t>CIA DE SANEAMENTO BASICO DO ESTADO DE SAO PAULO SABESP</t>
  </si>
  <si>
    <t> 43.776.517/0001-80</t>
  </si>
  <si>
    <t>0051/2022</t>
  </si>
  <si>
    <t>08183.000017/2022-91</t>
  </si>
  <si>
    <t>EDP SÃO PAULODISTRIBUIÇÃO DE ENERGIA S.A</t>
  </si>
  <si>
    <t>0024/2022</t>
  </si>
  <si>
    <t>08038.023206/2021-25</t>
  </si>
  <si>
    <t>PREGÃO Nº 13/2022</t>
  </si>
  <si>
    <t>LOCAL SETE SERVIÇOS DE PAISAGISMO EIRELLI</t>
  </si>
  <si>
    <t>12.260.812/0001-55</t>
  </si>
  <si>
    <t>0092/2025</t>
  </si>
  <si>
    <t>08038.001554/2025-75</t>
  </si>
  <si>
    <t>0046/2023</t>
  </si>
  <si>
    <t>SÃO PAULO</t>
  </si>
  <si>
    <t>08038.012298/2022-07</t>
  </si>
  <si>
    <t>PREGÃO Nº 25/2023</t>
  </si>
  <si>
    <t>R7 – SERVIÇOS TERCEIRIZADOS LTDA</t>
  </si>
  <si>
    <t>14.029.530/0001-77</t>
  </si>
  <si>
    <t>0001/2024</t>
  </si>
  <si>
    <t>LOCAÇÃO DE IMÓVEL</t>
  </si>
  <si>
    <t>08184.000848/2024-15</t>
  </si>
  <si>
    <t>RATEIO DE DESPESAS Nº 01/2024</t>
  </si>
  <si>
    <t>INMETRO</t>
  </si>
  <si>
    <t>00.662.270/0001-41</t>
  </si>
  <si>
    <t>0089/2022</t>
  </si>
  <si>
    <t>SOROCABA</t>
  </si>
  <si>
    <t>08038.018102/2021-07</t>
  </si>
  <si>
    <t>SERVIÇOS AUTÔNOMOS DE ÁGUA E ESGOTO - SAAE</t>
  </si>
  <si>
    <t>71.480.560/0001-39</t>
  </si>
  <si>
    <t>0163/2022</t>
  </si>
  <si>
    <t>08038.000530/2022-56</t>
  </si>
  <si>
    <t>CIA PIRATININGA DE FORÇA E LUZ</t>
  </si>
  <si>
    <t>0054/2024</t>
  </si>
  <si>
    <t>08038.013064/2023-50</t>
  </si>
  <si>
    <t>PREGÃO N° 90020/2024</t>
  </si>
  <si>
    <t>ADRIMAX PRESTAÇÃO DE SERVIÇOS DE LIMPEZA 
E CONSERVAÇÃO LTDA</t>
  </si>
  <si>
    <t>0093/2025</t>
  </si>
  <si>
    <t>08038.001555/2025-10</t>
  </si>
  <si>
    <t>0119/2022</t>
  </si>
  <si>
    <t>UBERLÂNDIA</t>
  </si>
  <si>
    <t>08038.001848/2022-54</t>
  </si>
  <si>
    <t>DEPARTAMENTO MUNICIPAL DE AGUA E ESGOTO</t>
  </si>
  <si>
    <t xml:space="preserve"> 25.769.548/0001-21</t>
  </si>
  <si>
    <t>0100/2022</t>
  </si>
  <si>
    <t>08038.003130/2022-01</t>
  </si>
  <si>
    <t>0016/2024</t>
  </si>
  <si>
    <t>08038.004533/2024-21</t>
  </si>
  <si>
    <t>0074/2024</t>
  </si>
  <si>
    <t>08038.009536/2023-70</t>
  </si>
  <si>
    <t>PREGÃO Nº 90034/2024</t>
  </si>
  <si>
    <t xml:space="preserve"> PLUS ADMINISTRAÇÃO E TERCEIRIZAÇÃO LTDA</t>
  </si>
  <si>
    <t>0052/2022</t>
  </si>
  <si>
    <t>08038.001853/2022-67</t>
  </si>
  <si>
    <t>COMPANHIA ESPÍRITO SANTENSE DE SANEAMENTO CES</t>
  </si>
  <si>
    <t>28.151.363/0001-47</t>
  </si>
  <si>
    <t>0079/2022</t>
  </si>
  <si>
    <t>08038.001590/2022-96</t>
  </si>
  <si>
    <t>0007/2023</t>
  </si>
  <si>
    <t>08038.012741/2022-31</t>
  </si>
  <si>
    <t>PREGÃO Nº 112/2022</t>
  </si>
  <si>
    <t>0095/2023</t>
  </si>
  <si>
    <t>08038.003036/2023-24</t>
  </si>
  <si>
    <t>PREGÃO Nº 63/2023</t>
  </si>
  <si>
    <t>K &amp; A COMÉRCIO E SERVIÇOS EIRELI - ME</t>
  </si>
  <si>
    <t>13.913.045/0001-07</t>
  </si>
  <si>
    <t>0214/2022</t>
  </si>
  <si>
    <t xml:space="preserve">VITÓRIA  </t>
  </si>
  <si>
    <t>08038.010715/2022-79</t>
  </si>
  <si>
    <t>PREGÃO N° 69/2022</t>
  </si>
  <si>
    <t>FORÇA TÁTICA VIGILÂNCIA E SEGURANÇA LTDA</t>
  </si>
  <si>
    <t>13.739.782/0002-08</t>
  </si>
  <si>
    <t>0190/2022</t>
  </si>
  <si>
    <t>VOLTA REDONDA</t>
  </si>
  <si>
    <t>08038.006233/2022-14</t>
  </si>
  <si>
    <t>SAAE/VR</t>
  </si>
  <si>
    <t>32.504.706/0001-87</t>
  </si>
  <si>
    <t>0092/2022</t>
  </si>
  <si>
    <t>08038.006086/2021-00</t>
  </si>
  <si>
    <t>0026/2023</t>
  </si>
  <si>
    <t>08038.016384/2022-81</t>
  </si>
  <si>
    <t>PREGÃO  N° 04/2023</t>
  </si>
  <si>
    <t>0015/2024</t>
  </si>
  <si>
    <t>08038.004449/2024-15</t>
  </si>
  <si>
    <t>PREGÃO  N° 90012/2024</t>
  </si>
  <si>
    <t>NACIONAL</t>
  </si>
  <si>
    <t>BR</t>
  </si>
  <si>
    <t>0117/2023</t>
  </si>
  <si>
    <t>AGENCIAMENTO DE VIAGENS, que compreende a emissão, remarcação e cancelamento de passagens aéreas nacionais e internacionais, incluindo serviços correlatos de aquisição de franquia de bagagem e cotação para fornecimento de seguro e assistência em viagem internacional.</t>
  </si>
  <si>
    <t>08038.001195/2023-94</t>
  </si>
  <si>
    <t>PREGÃO 84/2023</t>
  </si>
  <si>
    <t>AEROTUR SERVIÇOS DE VIAGENS LTDA</t>
  </si>
  <si>
    <t>05.120.923/0001-09</t>
  </si>
  <si>
    <t>0016/2023</t>
  </si>
  <si>
    <t>Contratação de empresa especializada em serviços de transporte terrestre por aplicativo, para atendimento das necessidades de deslocamento a serviço por servidores e defensores da DPU em âmbito nacional por demanda</t>
  </si>
  <si>
    <t>08038.006879/2022-00</t>
  </si>
  <si>
    <t>PREGÃO 109/2022</t>
  </si>
  <si>
    <t>I9 SOLUTIONS SOLUÇÕES COMERCIAIS E GESTÃO DE TRANSPORTE LTDA</t>
  </si>
  <si>
    <t>11.735.329/0001.17</t>
  </si>
  <si>
    <t>0010/2022</t>
  </si>
  <si>
    <t>AGENTE DE INTEGRAÇÃO DE ESTÁGIO</t>
  </si>
  <si>
    <t>08038.020365/2021-78</t>
  </si>
  <si>
    <t>PREGÃO 01/2022</t>
  </si>
  <si>
    <t>UNIVERSIDADE PATATIVA DO ASSARÉ – UPA</t>
  </si>
  <si>
    <t xml:space="preserve"> 05.342.580/0001-19</t>
  </si>
  <si>
    <t>0123/2023</t>
  </si>
  <si>
    <t>AMPLIAÇÃO DA SOLUÇÃO DE SEGURANÇA - BALANCEAMENTO DE CARGAS, DO TIPO APPLIANCE VIRTUAL, CONSTITUÍDO DE SOFTWARE, DO MESMO FABRICANTE, ATENDENDO O AMBIENTE COMPUTACIONAL DA DPU EM CLOUD, SERVIÇOS DE SUPORTE TÉCNICO COM MANUTENÇÃO PREVENTIVA E CORRETIVA, COM GARANTIA DE ATUALIZAÇÕES DE VERSÕES (SOFTWARE), DOS PATCHS, FIRMWARES E DOS PRODUTOS</t>
  </si>
  <si>
    <t>08038.011874/2023-71</t>
  </si>
  <si>
    <t>PREGÃO 97/2023</t>
  </si>
  <si>
    <t>NIVA TECNOLOGIA DA INFORMACAO LTDA</t>
  </si>
  <si>
    <t xml:space="preserve"> 09.053.350/0001-90</t>
  </si>
  <si>
    <t>36 MESES</t>
  </si>
  <si>
    <t>0058/2023</t>
  </si>
  <si>
    <t>AQUISIÇÃO DE CARIMBOS, PARA ATENDER ÀS DEMANDAS DAS UNIDADES DA DEFENSORIA PÚBLICA DA UNIÃO EM ÂMBITO NACIONAL</t>
  </si>
  <si>
    <t>08038.000508/2023-97</t>
  </si>
  <si>
    <t>PREGÃO 28/2023</t>
  </si>
  <si>
    <t>HBL CARIMBOS E PLACAS INDÚSTRIA E COMÉRCIO LTDA</t>
  </si>
  <si>
    <t>72.649.361/0001-74</t>
  </si>
  <si>
    <t>0083/2023</t>
  </si>
  <si>
    <t>CONTRATAÇÃO DE EMPRESA ESPECIALIZADA NA PRESTAÇÃO DE SERVIÇOS NA ÁREA DE TRANSPORTE RODOVIÁRIO ESTADUAL E INTERESTADUAL DE MOBÍLIAS, BAGAGENS E VOLUMES EM GERAL, ASSIM COMO MOBÍLIAS E BAGAGENS DE SERVIDORES REMOVIDOS</t>
  </si>
  <si>
    <t>08038.002689/2022-13</t>
  </si>
  <si>
    <t>PREGÃO 52/2023</t>
  </si>
  <si>
    <t>TRANSPORTADORA NEY DAS MUDANÇAS LTDA</t>
  </si>
  <si>
    <t>08.290.111/0001-91</t>
  </si>
  <si>
    <t>0004/2024</t>
  </si>
  <si>
    <t>SERVIÇOS DE APOIO LOGÍSTICO EM EVENTOS, SOB DEMANDA, COMPREENDENDO O PLANEJAMENTO, A ORGANIZAÇÃO, A PROMOÇÃO, A EXECUÇÃO E O ACOMPANHAMENTO DE ORGANIZAÇÃO DE EVENTOS E SERVIÇOS CORRELATOS</t>
  </si>
  <si>
    <t>08038.018747/2021-31</t>
  </si>
  <si>
    <t>PREGÃO 74/2023</t>
  </si>
  <si>
    <t>BARCELÔ EVENTOS LTDA</t>
  </si>
  <si>
    <t xml:space="preserve"> 19.086.382/0001-46</t>
  </si>
  <si>
    <t>0076/2024</t>
  </si>
  <si>
    <t>FORNECIMENTO DE DIGITAL OBJECT IDENTIFIER (DOI).</t>
  </si>
  <si>
    <t xml:space="preserve"> 08038.003522/2024-23</t>
  </si>
  <si>
    <t>DISPENSA 0099/2024</t>
  </si>
  <si>
    <t>EDER CARLOS SALAZAR SOTTO TECNOLOGIA DA INFORMAÇÃO (STNT CONSULTING)</t>
  </si>
  <si>
    <t>33.620.529/0001-67</t>
  </si>
  <si>
    <t>0047/2021</t>
  </si>
  <si>
    <t>DISTRIBUIÇÃO DE PUBLICIDADE</t>
  </si>
  <si>
    <t>08038.011588/2020-63</t>
  </si>
  <si>
    <t>INEXIGIBILIDADE 07/2021</t>
  </si>
  <si>
    <t>EMPRESA BRASIL DE COMUNICAÇÃO S.A- EBC</t>
  </si>
  <si>
    <t>09.168.704/0001-42</t>
  </si>
  <si>
    <t>0033/2023</t>
  </si>
  <si>
    <t>EDITORAÇÃO DE ARTIGOS PARA PUBLICAÇÕES TÉCNICAS E CIENTÍFICAS DAS REVISTAS GERIDAS PELA ESCOLA NACIONAL</t>
  </si>
  <si>
    <t>08038.014610/2022-99</t>
  </si>
  <si>
    <t>DISPENSA 46/2023</t>
  </si>
  <si>
    <t>GUSTAVO FELIPE DOS SANTOS FERREIRA (KAZIGU EDITORAÇÃO)</t>
  </si>
  <si>
    <t>18.353.444/0001-76</t>
  </si>
  <si>
    <t>0271/2022</t>
  </si>
  <si>
    <t>FORNECIMENTO  DE SOLUÇÃO DE TECNOLOGIA DE INFORMAÇÃO E COMUNICAÇÃO</t>
  </si>
  <si>
    <t xml:space="preserve"> 08139.000806/2021-87</t>
  </si>
  <si>
    <t>PREGÃO 11/2022</t>
  </si>
  <si>
    <t>MCR SISTEMAS E CONSULTORIA LTDA</t>
  </si>
  <si>
    <t>04.198.254/0001-17</t>
  </si>
  <si>
    <t>0070/2023</t>
  </si>
  <si>
    <t>FORNECIMENTO DE LICENÇAS ANUAIS DO SISTEMA WEB GESTÃO TRIBUTÁRIA</t>
  </si>
  <si>
    <t>08038.005927/2023-15</t>
  </si>
  <si>
    <t>INEXIGIBILIDADE 22/2023</t>
  </si>
  <si>
    <t>OPEN SOLUÇÕES TRIBUTÁRIAS LTDA</t>
  </si>
  <si>
    <t>09.094.300/0001-51</t>
  </si>
  <si>
    <t>0039/2023</t>
  </si>
  <si>
    <t>FORNECIMENTO DE PLATAFORMA DE CURSOS DE TECNOLOGIA E NEGÓCIOS DIGITAIS PARA ATENDER ÀS NECESSIDADES DA SECRETARIA DE TECNOLOGIA DA INFORMAÇÃO – STI</t>
  </si>
  <si>
    <t>08038.001251/2023-91</t>
  </si>
  <si>
    <t>INEXIGIBILIDADE 09/2023</t>
  </si>
  <si>
    <t>AOVS SISTEMAS DE INFORMATICA S.A</t>
  </si>
  <si>
    <t>05.555.382/0001-33</t>
  </si>
  <si>
    <t>0221/2022</t>
  </si>
  <si>
    <t>FORNECIMENTO DE SENHA DE ACESSO À
FERRAMENTA DE PESQUISA DE MERCADO E COMPARAÇÃO
DE PREÇOS.</t>
  </si>
  <si>
    <t>08038.001296/2022-84</t>
  </si>
  <si>
    <t>INEXIGIBILIDADE 66/2022</t>
  </si>
  <si>
    <t>NP TECNOLOGIA E GESTÃO DE
DADOS LTDA</t>
  </si>
  <si>
    <t xml:space="preserve"> 07.797.967/0001-95</t>
  </si>
  <si>
    <t>0171/2021</t>
  </si>
  <si>
    <t>FORNECIMENTO E DISTRIBUIÇÃO DIÁRIAS DE PERIÓDICOS NAS VERSÕES "DIGITAIS"</t>
  </si>
  <si>
    <t>08038.020398/2021-18</t>
  </si>
  <si>
    <t>PREGÃO 98/2021</t>
  </si>
  <si>
    <t>SEISELLES DISTRIBUIÇÃO E LOGÍSTICA EIRELI</t>
  </si>
  <si>
    <t>10.445.514/0001-04</t>
  </si>
  <si>
    <t>0238/2022</t>
  </si>
  <si>
    <t>LICENÇA REALCONNECT SERVICE FOR MSFT TEAMS VÍDEO INTEROP. PER UNIT CONCURRENTE VTC SUBSCRIPTION</t>
  </si>
  <si>
    <t>08038.008704/2022-29</t>
  </si>
  <si>
    <t>DISPENSA 244/2022</t>
  </si>
  <si>
    <t>XP ON CONSULTORIA LTDA</t>
  </si>
  <si>
    <t>23.518.065/0001-29</t>
  </si>
  <si>
    <t>0248/2022</t>
  </si>
  <si>
    <t>manutenção corretiva, desenvolvimento evolutivo, hospedagem e suporte técnico de 1 (um) software de gestão de patrimônio</t>
  </si>
  <si>
    <t>08038.009597/2022-56</t>
  </si>
  <si>
    <t>INEXIGIBILIDADE 73/2022</t>
  </si>
  <si>
    <t>RIOPRO INFORMÁTICA LTDA</t>
  </si>
  <si>
    <t>03.828.805/0001-16</t>
  </si>
  <si>
    <t>0128/2021</t>
  </si>
  <si>
    <t>OUTSOURCING – ALMOXARIFADO DIGITAL</t>
  </si>
  <si>
    <t>08038.007117/2020-51</t>
  </si>
  <si>
    <t>PREGÃO 07/2020</t>
  </si>
  <si>
    <t>AUTOPEL AUTOMAÇÃO COMERCIAL E INFORMÁTICA LTDA</t>
  </si>
  <si>
    <t>06.698.091/0005-90</t>
  </si>
  <si>
    <t>0129/2021</t>
  </si>
  <si>
    <t>BRS SUPRIMENTOS CORPORATIVOS S/A</t>
  </si>
  <si>
    <t>09.216.620/0001-37</t>
  </si>
  <si>
    <t>0045/2024</t>
  </si>
  <si>
    <t>BANCO DE IMAGENS ONLINE ROYALTY FREE</t>
  </si>
  <si>
    <t>08038.000413/2023-73</t>
  </si>
  <si>
    <t>DISPENSA 90050/2024</t>
  </si>
  <si>
    <t>RR TREVO REPRESENTACOES LTDA</t>
  </si>
  <si>
    <t>44.959.207/0001-63</t>
  </si>
  <si>
    <t>24 MESES</t>
  </si>
  <si>
    <t>0255/2022</t>
  </si>
  <si>
    <t>SERVIÇO DE CLIPPING</t>
  </si>
  <si>
    <t>08038.009252/2022-01</t>
  </si>
  <si>
    <t>PREGÃO 100/2022</t>
  </si>
  <si>
    <t>LINEAR COMUNICAÇÃO LTDA</t>
  </si>
  <si>
    <t>10.947.243/0001-95</t>
  </si>
  <si>
    <t>0138/2021</t>
  </si>
  <si>
    <t xml:space="preserve">SERVIÇOS DE  CORREIOS </t>
  </si>
  <si>
    <t>08038.006465/2021-91</t>
  </si>
  <si>
    <t>DISPENSA 189/2021</t>
  </si>
  <si>
    <t>CORREIOS-EMPRESA PÚBLICA</t>
  </si>
  <si>
    <t>34.028.316/0007-07</t>
  </si>
  <si>
    <t>0057/2024</t>
  </si>
  <si>
    <t>AQUISIÇÃO CERTIFICADO DIGITAL TIPO A1, SSL WILDCARD</t>
  </si>
  <si>
    <t>08038.003235/2024-13</t>
  </si>
  <si>
    <t>DISPENSA 90064/2024</t>
  </si>
  <si>
    <t>X.DIGITAL BRASIL</t>
  </si>
  <si>
    <t>38.597.881/0001-42</t>
  </si>
  <si>
    <t>0089/2024</t>
  </si>
  <si>
    <t>AQUISIÇÃO DE ESTAÇÕES DE TRABALHO MÓVEIS PADRÃO E DE ALTO DESEMPENHO, ESTAÇÕES DE ANCORAGEM UNIVERSAL E MONITORES, PARA ATENDER À DEMANDA DE PORTO ALEGRE/RS.</t>
  </si>
  <si>
    <t>08038.009571/2024-70</t>
  </si>
  <si>
    <t>PREGÃO 06/2023</t>
  </si>
  <si>
    <t>TORINO INFORMÁTICA LTDA</t>
  </si>
  <si>
    <t>03.619.767/0005-15</t>
  </si>
  <si>
    <t>0084/2024</t>
  </si>
  <si>
    <t>INSTITUIÇÃO FINANCEIRA INTERESSADA NA CONCESSÃO DE EMPRÉSTIMOS, MEDIANTE A CONTRAPRESTAÇÃO POR MEIO DE CONSIGNAÇÃO EM FOLHA DE PAGAMENTO, AOS DEFENSORES, SERVIDORES ATIVOS, APOSENTADOS E PENSIONISTAS</t>
  </si>
  <si>
    <t>08038.008886/2024-08</t>
  </si>
  <si>
    <t>CHAMAMENTO 
PÚBLICO Nº 16/2024</t>
  </si>
  <si>
    <t>ITAU UNIBANCO S.A.</t>
  </si>
  <si>
    <t>60.701.190/0001-04</t>
  </si>
  <si>
    <t>0078/2024</t>
  </si>
  <si>
    <t>GERENCIAMENTO, ADMINISTRAÇÃO, CONTROLE E AUTOMATIZAÇÃO DAS OPERAÇÕES DE CONSIGNAÇÃO NO ÂMBITO DA FOLHA DE PAGAMENTOS, COM FORNECIMENTO DE SOLUÇÃO WEB, ACESSÍVEL A PARTIR DE QUALQUER PONTO COM ACESSO À INTERNET E COM DISPONIBILIDADE DE 24 (VINTE QUATRO) HORAS POR 7 (SETE) DIAS, ASSIM COMO DA MARGEM CONSIGNÁVEL DOS SERVIDORES ATIVOS E INATIVOS E DE PENSIONISTAS</t>
  </si>
  <si>
    <t>08038.009793/2023-10</t>
  </si>
  <si>
    <t>PREGÃO 90023/2024</t>
  </si>
  <si>
    <t>CONSIGNET SISTEMAS LTDA</t>
  </si>
  <si>
    <t>23.112.748/0001-81</t>
  </si>
  <si>
    <t>0052/2024</t>
  </si>
  <si>
    <t>FORNECIMENTO, INSTALAÇÃO E MANUTENÇÃO DE UNIDADE DE ALIMENTAÇÃO ININTERRUPTA DE ENERGIA (NOBREAK</t>
  </si>
  <si>
    <t>08038.002398/2024</t>
  </si>
  <si>
    <t>PREGÃO 90017/2024</t>
  </si>
  <si>
    <t xml:space="preserve"> VLP INDÚSTRIA ELETRÔNICA LTDA</t>
  </si>
  <si>
    <t>12.215.178/0001-39</t>
  </si>
  <si>
    <t>0059/2025</t>
  </si>
  <si>
    <t xml:space="preserve">SERVIÇO DE SUPORTE TÉCNICO DE FERRAMENTA AUTOMATIZADA DE PLANEJAMENTO ESTRATÉGICO, VISANDO ATENDER À DEMANDA DA ASSESSORIA DE PLANEJAMENTO, ESTRATÉGIA E MODERNIZAÇÃO DA GESTÃO </t>
  </si>
  <si>
    <t>08038.009779/2024-99</t>
  </si>
  <si>
    <t>INEXIGIBILIDADE N.º 58/2025</t>
  </si>
  <si>
    <t>BRAINSTORMING ASSESSORIA DE PLANEJAMENTO E INFORMÁTICA LTDA</t>
  </si>
  <si>
    <t>01.595.655/0001-12</t>
  </si>
  <si>
    <t>0103/2025</t>
  </si>
  <si>
    <t>ASSINATURA NA PLATAFORMA DIGITAL “FLICKR PRO”, SUPRIR A DEMANDA DA DPU EM BRASÍLIA/DF</t>
  </si>
  <si>
    <t>08038.001813/2025-68</t>
  </si>
  <si>
    <t>DISPENSA Nº 90036/2025</t>
  </si>
  <si>
    <t>MARIA APARECIDA DE BRITO ROCHA</t>
  </si>
  <si>
    <t xml:space="preserve"> 57.429.093/0001-91</t>
  </si>
  <si>
    <t>0008/2025</t>
  </si>
  <si>
    <t xml:space="preserve"> PRESTAÇÃO DE SERVIÇOS DE SEGURO COLETIVO DE ACIDENTES PESSOAIS PARA O PROGRAMA DE RESIDÊNCIA JURÍDICA NO ÂMBITO DA DEFENSORIA PÚBLICA DA UNIÃO.</t>
  </si>
  <si>
    <t>08038.009450/2024-28</t>
  </si>
  <si>
    <t>DISPENSA Nº 90170/2024</t>
  </si>
  <si>
    <t>MBM SEGURADORA AS</t>
  </si>
  <si>
    <t>87.883.807/0001-06</t>
  </si>
  <si>
    <t>0104/2025</t>
  </si>
  <si>
    <t>EXECUÇÃO DE ATIVIDADES DE ENGENHARIA E ARQUITETURA, COM DEDICAÇÃO EXCLUSIVA DE MÃO DE OBRA. ALÉM DISSO, INCLUI-SE, SOB DEMANDA, A PRESTAÇÃO DE SERVIÇOS DE ASSESSORIA E CONSULTORIA ESPECIALIZADA, A ELABORAÇÃO DE LAUDOS DE AVALIAÇÃO MERCADOLÓGICA DE IMÓVEIS, O FORNECIMENTO DE DIÁRIAS E PASSAGENS, BEM COMO O PAGAMENTO DAS ANOTAÇÕES DE RESPONSABILIDADE TÉCNICA (ART) E DOS REGISTROS DE RESPONSABILIDADE TÉCNICA (RRT) JUNTO AOS RESPECTIVOS CONSELHOS DE CLASSE</t>
  </si>
  <si>
    <t>08038.010869/2023-41</t>
  </si>
  <si>
    <t>PREGÃO 90003/2025</t>
  </si>
  <si>
    <t xml:space="preserve"> G4F SOLUÇÕES CORPORATIVAS LTDA</t>
  </si>
  <si>
    <t>0095/2025</t>
  </si>
  <si>
    <t>PRESTAÇÃO DOS SERVIÇOS DE MAILING JORNALÍSTICO, PARA ATENDER À ASSESSORIA DE COMUNICAÇÃO SOCIAL (ASCOM).</t>
  </si>
  <si>
    <t>08038.008706/2024-80</t>
  </si>
  <si>
    <t>DISPENSA Nº 90014/2025</t>
  </si>
  <si>
    <t>CARAMBOLA PUBLICIDADE LTDA</t>
  </si>
  <si>
    <t>42.862.035/0001-80</t>
  </si>
  <si>
    <t>0043/2023</t>
  </si>
  <si>
    <t>AGENTE DE PORTARIA 12x36 NOTURNO</t>
  </si>
  <si>
    <t>08038.004598/2023-95</t>
  </si>
  <si>
    <t>PREGÃO 18/2023</t>
  </si>
  <si>
    <t>0042/2023</t>
  </si>
  <si>
    <t>08038.004597/2023-41</t>
  </si>
  <si>
    <t>STILO SEGURANÇA LTDA</t>
  </si>
  <si>
    <t>08.112.812/0001-30</t>
  </si>
  <si>
    <t>171/2025</t>
  </si>
  <si>
    <t>CONTRATAÇÃO DE EMPRESA ESPECIALIZADA PARA OS SERVIÇOS DE INSPEÇÃO TÉCNICA, MANUTENÇÃO E RECARGA DE EXTINTORES E MANGUEIRAS DE COMBATE A INCÊNDIO, SOB DEMANDA</t>
  </si>
  <si>
    <t>08038.007931/2025-80</t>
  </si>
  <si>
    <t>DISPENSA 167/2025</t>
  </si>
  <si>
    <t>TOTAL PROTEÇÃO CONTRA INCÊNDIO LTDA</t>
  </si>
  <si>
    <t>43.468.183/0001-87</t>
  </si>
  <si>
    <t>0115/2025</t>
  </si>
  <si>
    <t xml:space="preserve">BRASÍLIA  </t>
  </si>
  <si>
    <t>08038.004505/2025-94</t>
  </si>
  <si>
    <t>PREGÃO 115/2025</t>
  </si>
  <si>
    <t>REAL CONFIANÇA ADMINISTRAÇÃO E SERVIÇOS LTDA</t>
  </si>
  <si>
    <t>12.576.703/0001-41</t>
  </si>
  <si>
    <t>5008/2025</t>
  </si>
  <si>
    <t>08038.007084/2025-53</t>
  </si>
  <si>
    <t>COMPANHIA DE SANEAMENTO AMBIENTAL DO DISTRITO FEDERAL - CAESB</t>
  </si>
  <si>
    <t>00.082.024/0001-37</t>
  </si>
  <si>
    <t>5007/2025</t>
  </si>
  <si>
    <t>08038.007086/2025-42</t>
  </si>
  <si>
    <t>NEOENERGIA DISTRIBUIÇÃO BRASÍLIA</t>
  </si>
  <si>
    <t>07.522.669/0001-92</t>
  </si>
  <si>
    <t>0131/2025</t>
  </si>
  <si>
    <t>08038.005039/2025-64</t>
  </si>
  <si>
    <t>PREGÃO 90018/2025</t>
  </si>
  <si>
    <t>3R COMÉRCIO E SERVIÇOS DE MÁQUINAS LTDA</t>
  </si>
  <si>
    <t>20.838.277/0001-03</t>
  </si>
  <si>
    <t>0146/2025</t>
  </si>
  <si>
    <t xml:space="preserve">CÁCERES  </t>
  </si>
  <si>
    <t>08038.005622/2025-75</t>
  </si>
  <si>
    <t>PREGÃO 90021/2025</t>
  </si>
  <si>
    <t>KONNTE SEGURANÇA E VIGILÂNCIA LTDA</t>
  </si>
  <si>
    <t>11.090.084/0001-18</t>
  </si>
  <si>
    <t>1000/2025</t>
  </si>
  <si>
    <t>08038.001514/2023-61</t>
  </si>
  <si>
    <t>PREGÃO 90038/2024</t>
  </si>
  <si>
    <t>AC GONTIJO - GESTAO EM TERCEIRIZAÇÃO LTDA</t>
  </si>
  <si>
    <t>08.731.265/0001-7</t>
  </si>
  <si>
    <t>60 MESES
REMANESCENTE</t>
  </si>
  <si>
    <t xml:space="preserve">0107/2025 </t>
  </si>
  <si>
    <t xml:space="preserve">BELÉM </t>
  </si>
  <si>
    <t>MANUTENÇÃO DE ELEVADOR DE PASSAGEIROS – PLATAFORMA ELEVATÓRIA</t>
  </si>
  <si>
    <t>08038.009751/2024-51</t>
  </si>
  <si>
    <t>PREGÃO Nº 90015/2025</t>
  </si>
  <si>
    <t>CONSERP MANUTENÇÃO DE ELEVADORES EPP LTDA</t>
  </si>
  <si>
    <t>00.489.015.0001/65</t>
  </si>
  <si>
    <t>0122/2025</t>
  </si>
  <si>
    <t xml:space="preserve">BOA VISTA  </t>
  </si>
  <si>
    <t>08038.004983/2025-02</t>
  </si>
  <si>
    <t>PREGÃO 90016/2025</t>
  </si>
  <si>
    <t>0158/2025</t>
  </si>
  <si>
    <t>08038.007423/2025-00</t>
  </si>
  <si>
    <t>PREGÃO Nº 90029/2025</t>
  </si>
  <si>
    <t>RONALDO DE SOUZA BONTA - EPP</t>
  </si>
  <si>
    <t>18.319.091/0001-98</t>
  </si>
  <si>
    <t>0114/2025</t>
  </si>
  <si>
    <t xml:space="preserve">MANAUS </t>
  </si>
  <si>
    <t>08038.004494/2025-42</t>
  </si>
  <si>
    <t>PREGÃO Nº 90008/2025</t>
  </si>
  <si>
    <t>BELÉM RIO SEGURANÇA LTDA</t>
  </si>
  <si>
    <t>17.433.496/0003-51</t>
  </si>
  <si>
    <t>5002/2025</t>
  </si>
  <si>
    <t xml:space="preserve">PORTO VELHO </t>
  </si>
  <si>
    <t>08038.003465/2025-63</t>
  </si>
  <si>
    <t>COMPANHIA DE ÁGUAS E ESGOTOS DE RONDÔNIA - CAERD</t>
  </si>
  <si>
    <t>05.914.254/0001-40</t>
  </si>
  <si>
    <t>116/2025</t>
  </si>
  <si>
    <t>08038.004761/2025-81</t>
  </si>
  <si>
    <t>PREGÃO Nº 90018/2025</t>
  </si>
  <si>
    <t>0105/2025</t>
  </si>
  <si>
    <t xml:space="preserve">RIO BRANCO  </t>
  </si>
  <si>
    <t xml:space="preserve"> 08038.010269/2024-64</t>
  </si>
  <si>
    <t>PREGÃO 90005/2025</t>
  </si>
  <si>
    <t xml:space="preserve"> LEONILDO C. DOS SANTOS ME</t>
  </si>
  <si>
    <t>25.451.513/0001-40</t>
  </si>
  <si>
    <t>0144/2025</t>
  </si>
  <si>
    <t>08038.006265/2025-62</t>
  </si>
  <si>
    <t>PREGÃO Nº 90027/2025</t>
  </si>
  <si>
    <t>0109/2025</t>
  </si>
  <si>
    <t>CARUARU/PE</t>
  </si>
  <si>
    <t>08038.004266/2025-72</t>
  </si>
  <si>
    <t>PREGÃO 90008/2025</t>
  </si>
  <si>
    <t>PROTEMAXI SEGURANÇA PATRIMONIAL ARMADA LTDA</t>
  </si>
  <si>
    <t>04.808.914/0002-15</t>
  </si>
  <si>
    <t>60 MESES
INÍCIO 01/7/2025</t>
  </si>
  <si>
    <t>AL
BA
PB</t>
  </si>
  <si>
    <t>0129/2025</t>
  </si>
  <si>
    <t>08038.005285/2025-16</t>
  </si>
  <si>
    <t>MDL COMÉRCIO E SERVIÇOS LTDA</t>
  </si>
  <si>
    <t>18.192.731/0001-41</t>
  </si>
  <si>
    <t>0133/2025</t>
  </si>
  <si>
    <t>08038.005248/2025-16</t>
  </si>
  <si>
    <t>BRAJUR SEGURANÇA PATRIMONIAL LTDA</t>
  </si>
  <si>
    <t>23.934.050/0001-41</t>
  </si>
  <si>
    <t>60 MESES a partir de 02/09/2025</t>
  </si>
  <si>
    <t>0110/2025</t>
  </si>
  <si>
    <t>08038.004265/2025-28</t>
  </si>
  <si>
    <t>04.808.914/0005-68</t>
  </si>
  <si>
    <t>5005/2025</t>
  </si>
  <si>
    <t>08038.004487/2025-41</t>
  </si>
  <si>
    <t>09.123.654/0001-88</t>
  </si>
  <si>
    <t>0160/2025</t>
  </si>
  <si>
    <t>08038.007763/2025-22</t>
  </si>
  <si>
    <t>PREGÃO 90036/2025</t>
  </si>
  <si>
    <t>CENTRO OESTE SERVIÇOS LTDA – EM RECUPERAÇÃO JUDICIAL</t>
  </si>
  <si>
    <t>24.351.428/0001-47</t>
  </si>
  <si>
    <t>60 MESES
INICIO EM 9/10/25</t>
  </si>
  <si>
    <t>0014/2025</t>
  </si>
  <si>
    <t>LOCAÇÃO DE IMÓVEL
COMPARTILIAMENTO COM MPT</t>
  </si>
  <si>
    <t>08141.000045/2024-67</t>
  </si>
  <si>
    <t>MINISTÉRIO PÚBLICO DO TRABALHO DA PARAÍBA</t>
  </si>
  <si>
    <t>26.989.715/0044-42</t>
  </si>
  <si>
    <t>0143/2025</t>
  </si>
  <si>
    <t>08038.006216/2025-20</t>
  </si>
  <si>
    <t>PREGÃO 90027/2025</t>
  </si>
  <si>
    <t>SEGURO SEGURANÇA LTDA</t>
  </si>
  <si>
    <t>17.036.171/0001-73</t>
  </si>
  <si>
    <t>60 MESES
INÍCIO 02/09/2025</t>
  </si>
  <si>
    <t>0157/2025</t>
  </si>
  <si>
    <t>08038.007397/2025-10</t>
  </si>
  <si>
    <t>PREGÃO 90029/2025</t>
  </si>
  <si>
    <t>LOKSERV SERVIÇOS DE LIMPEZA LTDA</t>
  </si>
  <si>
    <t>10.343.472/0001-09</t>
  </si>
  <si>
    <t>60 MESES
INÍCIO EM 15/10/2025</t>
  </si>
  <si>
    <t>0142/2025</t>
  </si>
  <si>
    <t>08038.006196/2025-97</t>
  </si>
  <si>
    <t>PREGÃO 90026/2025</t>
  </si>
  <si>
    <t>VPA VIGILÂNCIA E SEGURANÇA LTDA</t>
  </si>
  <si>
    <t>14.443.309/0003-22</t>
  </si>
  <si>
    <t>60 MESES
inicio 02/09/2025</t>
  </si>
  <si>
    <t>0141/2025</t>
  </si>
  <si>
    <t>08038.006188/2025-41</t>
  </si>
  <si>
    <t>0156/2025</t>
  </si>
  <si>
    <t>08038.007400/2025-97</t>
  </si>
  <si>
    <t>0151/2025</t>
  </si>
  <si>
    <t>08038.002763/2025-36</t>
  </si>
  <si>
    <t>PREGÃO 90034/2025</t>
  </si>
  <si>
    <t>PRATA SERVIÇOS ADMINISTRATIVOS LTDA</t>
  </si>
  <si>
    <t>0120/2025</t>
  </si>
  <si>
    <t>08038.005092/2025-65</t>
  </si>
  <si>
    <t>LUZA PARK SEGURANÇA PRIVADA LTDA</t>
  </si>
  <si>
    <t>29.734.891/0001-91</t>
  </si>
  <si>
    <t>60 MESES
INÍCIO 01/08/2025</t>
  </si>
  <si>
    <t>0117/2025</t>
  </si>
  <si>
    <t>08038.004945/2025-41</t>
  </si>
  <si>
    <t>PREGÃO N° 90018/2025</t>
  </si>
  <si>
    <t>GENESIS COMERCIO E MANUTENCOES LTDA ME</t>
  </si>
  <si>
    <t>0135/2025</t>
  </si>
  <si>
    <t>BAGÉ
CANOAS
PELOTAS
RIO GRANDE
SANTA MARIA
URUGUAIANA</t>
  </si>
  <si>
    <t>08038.006195/2024-61</t>
  </si>
  <si>
    <t>PREGÃO Nº 90022/2025</t>
  </si>
  <si>
    <t>LINCE – SEGURANÇA PATRIMONIAL LTDA</t>
  </si>
  <si>
    <t>10.364.152/0002-08</t>
  </si>
  <si>
    <t>0124/2025</t>
  </si>
  <si>
    <t xml:space="preserve">CASCAVEL </t>
  </si>
  <si>
    <t>VIGILÃNCIA PATRIMONIAL</t>
  </si>
  <si>
    <t>08038.005218/2025-00</t>
  </si>
  <si>
    <t>PREGÃO Nº  90019/2025</t>
  </si>
  <si>
    <t>PRADA SEGURANÇA PRIVADA LTDA</t>
  </si>
  <si>
    <t>17.249.507/0001-86</t>
  </si>
  <si>
    <t>0123/2025</t>
  </si>
  <si>
    <t>08038.005210/2025-35</t>
  </si>
  <si>
    <t>0126/2025</t>
  </si>
  <si>
    <t>08038.005214/2025-13</t>
  </si>
  <si>
    <t>0113/2025</t>
  </si>
  <si>
    <t>ADEQUAÇÃO E REFORMA DE IMÓVEL</t>
  </si>
  <si>
    <t>08156.000055/2024-33</t>
  </si>
  <si>
    <t>PREGÃO Nº  90014/2015</t>
  </si>
  <si>
    <t>PROMASTER CONSTRUÇÕES DE OBRAS LTDA</t>
  </si>
  <si>
    <t>41.733.665/0001-91</t>
  </si>
  <si>
    <t>06 MESES</t>
  </si>
  <si>
    <t>0125/2025</t>
  </si>
  <si>
    <t>08038.005211/2025-80</t>
  </si>
  <si>
    <t>0127/2025</t>
  </si>
  <si>
    <t>08038.005215/2025-68</t>
  </si>
  <si>
    <t>0154/2025</t>
  </si>
  <si>
    <t>08038.002487/2025-14</t>
  </si>
  <si>
    <t>PREGÃO N° 90031/2025</t>
  </si>
  <si>
    <t>SUPER NOVA SERVIÇOS GERAIS LTDA</t>
  </si>
  <si>
    <t>26.560.932/0001-82</t>
  </si>
  <si>
    <t>1002/2025</t>
  </si>
  <si>
    <t xml:space="preserve">BAIXADA FLUMINENSE </t>
  </si>
  <si>
    <t>PREGÃO N° 086/2022</t>
  </si>
  <si>
    <t>REOBOOT 101 SERVIÇOS LTDA</t>
  </si>
  <si>
    <t>20.222.439/0001-76</t>
  </si>
  <si>
    <t>7001/2025</t>
  </si>
  <si>
    <t xml:space="preserve">GUARULHOS  </t>
  </si>
  <si>
    <t>COMPARTILHADAO COM M.T.E.</t>
  </si>
  <si>
    <t>08154.000098/2024-39</t>
  </si>
  <si>
    <t>Ministério do Trabalho e Emprego - MTE (Gerência Regional do Trabalho)</t>
  </si>
  <si>
    <t>0130/2025</t>
  </si>
  <si>
    <t xml:space="preserve">NITERÓI </t>
  </si>
  <si>
    <t>08038.002508/2025-93</t>
  </si>
  <si>
    <t>PREGÃO Nº 90024/2025</t>
  </si>
  <si>
    <t>PREVELAR SOLUÇÕES EM ENGENHARIA LTDA</t>
  </si>
  <si>
    <t>29.080.486/0001-05</t>
  </si>
  <si>
    <t>SUDESTE
SUL</t>
  </si>
  <si>
    <t>SP
PR
RS</t>
  </si>
  <si>
    <t>0106/2025</t>
  </si>
  <si>
    <t>08038.001512/2025-34</t>
  </si>
  <si>
    <t>PREGÃO Nº 90012/2025</t>
  </si>
  <si>
    <t>SANTOS</t>
  </si>
  <si>
    <t>MG
ES</t>
  </si>
  <si>
    <t>0118/2025</t>
  </si>
  <si>
    <t>08038.004968/2025-56</t>
  </si>
  <si>
    <t>0150/2025</t>
  </si>
  <si>
    <t>INSTITUIÇÃO FINANCEIRA INTERESSADA NA CONCESSÃO DE EMPRÉSTIMOS, MEDIANTE A CONTRAPRESTAÇÃO POR MEIO DE CONSIGNAÇÃO EM FOLHA DE PAGAMENTO, AOS DEFENSORES, SERVIDORES ATIVOS, APOSENTADOS E PENSIONISTAS, POR INTERMÉDIO DA DEFENSORIA PÚBLICA DA UNIÃO E A EMPRESACOOPERATIVA DE CREDITO DE LIVRE ADMISSAO SICOOB COOPJUS LTDA.</t>
  </si>
  <si>
    <t>08038.006669/2025-56</t>
  </si>
  <si>
    <t>COOPERATIVA DE CREDITO DE LIVRE ADMISSAO SICOOB COOPJUS LTDA</t>
  </si>
  <si>
    <t>25.363.615/0001-03</t>
  </si>
  <si>
    <t>5006/2025</t>
  </si>
  <si>
    <t>SOFTWARE GERENCIADOR DE BIBLIOTECAS ALEXANDRIA ONLINE</t>
  </si>
  <si>
    <t>08038.003659/2025-69</t>
  </si>
  <si>
    <t>INEXIGIBILIDADE</t>
  </si>
  <si>
    <t>DOCS &amp; BYTES INFORMATICA LTDA</t>
  </si>
  <si>
    <t>00.712.212/0001-00</t>
  </si>
  <si>
    <t>0134/2025</t>
  </si>
  <si>
    <t>CONTRAPRESTAÇÃO POR MEIO DE CONSIGNAÇÃO EM FOLHA DE PAGAMENTO, AOS DEFENSORES, SERVIDORES ATIVOS, APOSENTADOS E PENSIONISTAS VINCULADOS A DEFENSORIA PÚBLICA DA UNIÃO</t>
  </si>
  <si>
    <t>08038.005352/2025-01</t>
  </si>
  <si>
    <t>EDITAL</t>
  </si>
  <si>
    <t xml:space="preserve"> MONETÁRIE SOCIEDADE DE CRÉDITO DIRETO S.A</t>
  </si>
  <si>
    <t>46.026.562/0001-05</t>
  </si>
  <si>
    <t>0137/2025</t>
  </si>
  <si>
    <t>CONCESSÃO DE EMPRÉSTIMOS, MEDIANTE A CONTRAPRESTAÇÃO POR MEIO DE CONSIGNAÇÃO EM FOLHA DE PAGAMENTO, AOS DEFENSORES, SERVIDORES ATIVOS, APOSENTADOS E PENSIONISTAS</t>
  </si>
  <si>
    <t>08038.005731/2025-92</t>
  </si>
  <si>
    <t>CAPITAL CONSIG SOCIEDADE DE CREDITO DIRETO S.A</t>
  </si>
  <si>
    <t>40.083.667/0001-10</t>
  </si>
  <si>
    <t>150/2025</t>
  </si>
  <si>
    <t xml:space="preserve">CONCESSÃO DE EMPRÉSTIMOS, MEDIANTE A CONTRAPRESTAÇÃO POR MEIO DE CONSIGNAÇÃO EM FOLHA DE PAGAMENTO, AOS DEFENSORES, SERVIDORES ATIVOS, APOSENTADOS E PENSIONISTAS </t>
  </si>
  <si>
    <t>0128/2025</t>
  </si>
  <si>
    <t>08038.005108/2025-30</t>
  </si>
  <si>
    <t>EDITAL 16/2024</t>
  </si>
  <si>
    <t>EAGLE SOCIEDADE DE CRÉDITO DIRETO S.A</t>
  </si>
  <si>
    <t>45.745.537/0001-19</t>
  </si>
  <si>
    <t>0145/2025</t>
  </si>
  <si>
    <t>CONCESSÃO DE EMPRÉSTIMOS, MEDIANTE A CONTRAPRESTAÇÃO POR MEIO DE CONSIGNAÇÃO EM FOLHA DE PAGAMENTO, AOS DEFENSORES, SERVIDORES ATIVOS, APOSENTADOS E PENSIONISTAS VINCULADOS A DEFENSORIA PÚBLICA DA UNIÃO</t>
  </si>
  <si>
    <t>08038.006359/2025-31</t>
  </si>
  <si>
    <t>BANCO C6 CONSIGNADO S.A</t>
  </si>
  <si>
    <t>61.348.538/0001-86</t>
  </si>
  <si>
    <t>0148/2025</t>
  </si>
  <si>
    <t>CONCESSÃO DE EMPRÉSTIMOS, MEDIANTE A CONTRAPRESTAÇÃO POR MEIO DE CONSIGNAÇÃO EM FOLHA DE PAGAMENTO, AOS DEFENSORES, SERVIDORES ATIVOS, APOSENTADOS E PENSIONISTAS VINCULADOS A DEFENSORIA PÚBLICA DA UNIÃO, BANCO DAYCOVAL S.A.</t>
  </si>
  <si>
    <t>08038.006494/2025-87</t>
  </si>
  <si>
    <t>BANCO DAYCOVAL S.A</t>
  </si>
  <si>
    <t>62.232.884/0001-90</t>
  </si>
  <si>
    <t>0159/2025</t>
  </si>
  <si>
    <t>EMPRÉSTIMOS, MEDIANTE A CONTRAPRESTAÇÃO POR MEIO DE CONSIGNAÇÃO EM FOLHA DE PAGAMENTO, AOS DEFENSORES, SERVIDORES ATIVOS, APOSENTADOS E PENSIONISTAS VINCULADOS A DEFENSORIA PÚBLICA DA UNIÃO, COOPERFORTE COOPERATIVA DE CREDITO E INVESTIMENTOS LTDA.</t>
  </si>
  <si>
    <t>08038.007390/2025-90</t>
  </si>
  <si>
    <t>EDITAL 16/2025</t>
  </si>
  <si>
    <t>COOPERFORTE COOPERATIVA DE CREDITO E INVESTIMENTOS LTDA</t>
  </si>
  <si>
    <t>01.658.426/0001-08</t>
  </si>
  <si>
    <t>0155/2025</t>
  </si>
  <si>
    <t>PRESTAÇÃO DE ASSISTÊNCIA À SAÚDE AOS SERVIDORES OU EMPREGADOS ATIVOS E INATIVOS, DO PATROCINADOR, BEM COMO AOS SEUS DEPENDENTES E RESPECTIVOS GRUPOS FAMILIARES DEFINIDOS NOS TERMOS DESTE CONVÊNIO, PROPORCIONANDO A POSSIBILIDADE DE INGRESSO NOS PLANOS DE SAÚDE</t>
  </si>
  <si>
    <t>08038.007348/2024-98</t>
  </si>
  <si>
    <t>GEAP AUTOGESTÃO EM SAÚDE</t>
  </si>
  <si>
    <t>03.658.432/0001-82</t>
  </si>
  <si>
    <t>0147/2025</t>
  </si>
  <si>
    <t>CONCESSÃO DE EMPRÉSTIMOS, MEDIANTE A CONTRAPRESTAÇÃO POR MEIO DE CONSIGNAÇÃO EM FOLHA DE PAGAMENTO, AOS DEFENSORES, SERVIDORES ATIVOS, APOSENTADOS E PENSIONISTAS VINCULADOS A DEFENSORIA PÚBLICA DA UNIÃO, QUE ENTRE SI CELEBRAM A UNIÃO, POR INTERMÉDIO DA DEFENSORIA PÚBLICA DA UNIÃO E A EMPRESA BCO BRASÍLIA SA - BRB</t>
  </si>
  <si>
    <t>08038.006601/2025-77</t>
  </si>
  <si>
    <t>BCO BRASÍLIA SA - BRB</t>
  </si>
  <si>
    <t>00.000.208/0001-00</t>
  </si>
  <si>
    <t>0166/2025</t>
  </si>
  <si>
    <t>CONCESSÃO DE CARTÃO DE CRÉDITO E CARTÃO BENEFÍCIO, MEDIANTE A CONTRAPRESTAÇÃO POR MEIO DE CONSIGNAÇÃO EM FOLHA DE PAGAMENTO</t>
  </si>
  <si>
    <t>08038.006260/2025-30</t>
  </si>
  <si>
    <t>CONVÊNIO</t>
  </si>
  <si>
    <t>62.232.889/0001-90</t>
  </si>
  <si>
    <t>0136/2025</t>
  </si>
  <si>
    <t>CONVÊNIO A CONSIGNAÇÃO FACULTATIVA DE DESCONTO DE MENSALIDADE E CUSTEIO DE PLANO DE SAÚDE, PREFERENCIALMENTE, EM FOLHA DE PAGAMENTO A SEREM PAGAS À CONTRATADA PELOS MEMBROS, SERVIDORES E SEUS RESPECTIVOS DEPENDENTES DA CONTRATANTE QUE TENHAM ADERIDO AO PLANO DE SAÚDE DA QUALICORP</t>
  </si>
  <si>
    <t>08038.003242/2025-04</t>
  </si>
  <si>
    <t>QUALICORP ADMINISTRADORA DE BENEFÍCIOS S.A.</t>
  </si>
  <si>
    <t>07.658.098/0001-18</t>
  </si>
  <si>
    <t>0165/2025</t>
  </si>
  <si>
    <t>INSTITUIÇÃO FINANCEIRA INTERESSADA NA CONCESSÃO DE EMPRÉSTIMOS, MEDIANTE A CONTRAPRESTAÇÃO POR MEIO DE CONSIGNAÇÃO EM FOLHA DE PAGAMENTO, AOS DEFENSORES, SERVIDORES ATIVOS, APOSENTADOS E PENSIONISTAS, POR INTERMÉDIO DA DEFENSORIA PÚBLICA DA UNIÃO E A EMPRESA HBI SOCIEDADE DE CREDITO DIRETO S/A.</t>
  </si>
  <si>
    <t>08038.007434/2025-81</t>
  </si>
  <si>
    <t>HBI SOCIEDADE DE CREDITO DIRETO S/A.</t>
  </si>
  <si>
    <t>04.849.745/0001-80</t>
  </si>
  <si>
    <t>5009/2025</t>
  </si>
  <si>
    <t xml:space="preserve"> LOCAÇÃO DE PAVILHÕES (STANDS) BRONZE EM ÁREA DE EXPOSIÇÃO DA
GREEN ZONE, DA CONFERÊNCIA DAS NAÇÕES UNIDAS SOBRE MUDANÇAS CLIMÁTICAS DE 2025-COP30, QUE
OCORRERÁ EM BELÉM, NO ESTADO DO PARÁ, DO DIA 10 A 21 DE NOVEMBRO DE 2025</t>
  </si>
  <si>
    <t>08038.006020/2025-35</t>
  </si>
  <si>
    <t>RG TECNOLOGIA E EVENTOS LTDA</t>
  </si>
  <si>
    <t>08.856.095/0001-51</t>
  </si>
  <si>
    <t xml:space="preserve">ES
MG 
RJ 
SP 
</t>
  </si>
  <si>
    <t>0121/2025</t>
  </si>
  <si>
    <t>BAIXADA FLUMINENSE
BELO HORIZONTE
JUIZ DE FORA
NITERÓI
RIO DE JANEIRO
VITÓRIA</t>
  </si>
  <si>
    <t>FORNECIMENTO DE COPOS PLÁSTICOS, VISANDO SUPRIR A DEMANDA DAS UNIDADES DA DPU NA REGIÃO SUDESTE</t>
  </si>
  <si>
    <t xml:space="preserve"> 08038.001094/2025-85</t>
  </si>
  <si>
    <t>PREGÃO Nº  90042/2025</t>
  </si>
  <si>
    <t>MEGAMAQ EQUIPAMENTOS, PRODUTOS E SERVICOS LTDA</t>
  </si>
  <si>
    <t>32.492.168/0001-58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</si>
</sst>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m/d/yyyy"/>
    <numFmt numFmtId="166" formatCode="_-[$R$-416]\ * #,##0.00_-;\-[$R$-416]\ * #,##0.00_-;_-[$R$-416]\ * &quot;-&quot;??_-;_-@_-"/>
  </numFmts>
  <fonts count="15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rgb="FF000000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sz val="9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2" fontId="1" fillId="0" borderId="4" xfId="1" applyNumberFormat="1" applyFont="1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 wrapText="1"/>
    </xf>
    <xf numFmtId="164" fontId="1" fillId="0" borderId="5" xfId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4" fontId="4" fillId="0" borderId="6" xfId="1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2" fontId="5" fillId="0" borderId="7" xfId="1" applyNumberFormat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64" fontId="1" fillId="0" borderId="7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4" fontId="6" fillId="0" borderId="7" xfId="1" applyNumberFormat="1" applyFont="1" applyBorder="1" applyAlignment="1">
      <alignment horizontal="center" vertical="center" wrapText="1"/>
    </xf>
    <xf numFmtId="165" fontId="3" fillId="2" borderId="7" xfId="1" applyNumberFormat="1" applyFont="1" applyFill="1" applyBorder="1" applyAlignment="1">
      <alignment horizontal="center" vertical="center" wrapText="1"/>
    </xf>
    <xf numFmtId="14" fontId="3" fillId="2" borderId="7" xfId="1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164" fontId="1" fillId="0" borderId="10" xfId="1" applyNumberFormat="1" applyFont="1" applyBorder="1" applyAlignment="1">
      <alignment horizontal="center" vertical="center" wrapText="1"/>
    </xf>
    <xf numFmtId="164" fontId="1" fillId="0" borderId="9" xfId="1" applyNumberFormat="1" applyFont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4" fontId="3" fillId="0" borderId="7" xfId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64" fontId="8" fillId="0" borderId="7" xfId="1" applyNumberFormat="1" applyFont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65" fontId="3" fillId="0" borderId="12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/>
    </xf>
    <xf numFmtId="14" fontId="3" fillId="2" borderId="12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1" fillId="2" borderId="7" xfId="1" applyNumberFormat="1" applyFont="1" applyFill="1" applyBorder="1" applyAlignment="1">
      <alignment horizontal="center" vertical="center" wrapText="1"/>
    </xf>
    <xf numFmtId="14" fontId="5" fillId="2" borderId="7" xfId="1" applyNumberFormat="1" applyFont="1" applyFill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2" fontId="5" fillId="0" borderId="8" xfId="1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2" fontId="5" fillId="0" borderId="4" xfId="1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5" fillId="2" borderId="7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5" fontId="5" fillId="0" borderId="9" xfId="1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2" fontId="3" fillId="2" borderId="7" xfId="1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8" fillId="2" borderId="7" xfId="1" applyNumberFormat="1" applyFont="1" applyFill="1" applyBorder="1" applyAlignment="1">
      <alignment horizontal="center" vertical="center" wrapText="1"/>
    </xf>
    <xf numFmtId="165" fontId="3" fillId="2" borderId="12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14" fontId="5" fillId="0" borderId="4" xfId="1" applyNumberFormat="1" applyFont="1" applyBorder="1" applyAlignment="1">
      <alignment horizontal="center" vertical="center" wrapText="1"/>
    </xf>
    <xf numFmtId="2" fontId="5" fillId="2" borderId="8" xfId="1" applyNumberFormat="1" applyFont="1" applyFill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  <xf numFmtId="2" fontId="3" fillId="2" borderId="8" xfId="1" applyNumberFormat="1" applyFont="1" applyFill="1" applyBorder="1" applyAlignment="1">
      <alignment horizontal="center" vertical="center" wrapText="1"/>
    </xf>
    <xf numFmtId="2" fontId="3" fillId="0" borderId="7" xfId="1" applyNumberFormat="1" applyFont="1" applyBorder="1" applyAlignment="1">
      <alignment horizontal="center" vertical="center" wrapText="1"/>
    </xf>
    <xf numFmtId="2" fontId="3" fillId="0" borderId="8" xfId="1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2" fontId="5" fillId="0" borderId="11" xfId="1" applyNumberFormat="1" applyFont="1" applyBorder="1" applyAlignment="1">
      <alignment horizontal="center" vertical="center" wrapText="1"/>
    </xf>
    <xf numFmtId="14" fontId="6" fillId="0" borderId="10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4" fontId="1" fillId="4" borderId="7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1" fillId="0" borderId="7" xfId="1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14" fontId="5" fillId="2" borderId="10" xfId="1" applyNumberFormat="1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165" fontId="6" fillId="0" borderId="12" xfId="1" applyNumberFormat="1" applyFont="1" applyBorder="1" applyAlignment="1">
      <alignment horizontal="center" vertical="center" wrapText="1"/>
    </xf>
    <xf numFmtId="2" fontId="5" fillId="0" borderId="9" xfId="1" applyNumberFormat="1" applyFont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5" fontId="3" fillId="0" borderId="11" xfId="1" applyNumberFormat="1" applyFont="1" applyBorder="1" applyAlignment="1">
      <alignment horizontal="center" vertical="center" wrapText="1"/>
    </xf>
    <xf numFmtId="165" fontId="6" fillId="2" borderId="12" xfId="1" applyNumberFormat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165" fontId="3" fillId="0" borderId="15" xfId="1" applyNumberFormat="1" applyFont="1" applyBorder="1" applyAlignment="1">
      <alignment horizontal="center" vertical="center" wrapText="1"/>
    </xf>
    <xf numFmtId="165" fontId="6" fillId="2" borderId="9" xfId="1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64" fontId="1" fillId="0" borderId="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14" fontId="5" fillId="0" borderId="13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2" fontId="5" fillId="0" borderId="14" xfId="1" applyNumberFormat="1" applyFont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4" fontId="5" fillId="0" borderId="12" xfId="1" applyNumberFormat="1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14" fontId="5" fillId="0" borderId="7" xfId="0" applyNumberFormat="1" applyFont="1" applyBorder="1" applyAlignment="1" applyProtection="1">
      <alignment horizontal="center" vertical="center" wrapText="1"/>
      <protection locked="0"/>
    </xf>
    <xf numFmtId="165" fontId="6" fillId="0" borderId="9" xfId="1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164" fontId="1" fillId="0" borderId="19" xfId="1" applyNumberFormat="1" applyFont="1" applyBorder="1" applyAlignment="1">
      <alignment horizontal="center" vertical="center" wrapText="1"/>
    </xf>
    <xf numFmtId="165" fontId="6" fillId="0" borderId="18" xfId="1" applyNumberFormat="1" applyFont="1" applyBorder="1" applyAlignment="1">
      <alignment horizontal="center" vertical="center" wrapText="1"/>
    </xf>
    <xf numFmtId="165" fontId="6" fillId="0" borderId="7" xfId="1" applyNumberFormat="1" applyFont="1" applyBorder="1" applyAlignment="1">
      <alignment horizontal="center" vertical="center" wrapText="1"/>
    </xf>
    <xf numFmtId="8" fontId="1" fillId="0" borderId="7" xfId="0" applyNumberFormat="1" applyFont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2" fillId="0" borderId="0" xfId="0" applyFont="1"/>
    <xf numFmtId="0" fontId="3" fillId="0" borderId="0" xfId="0" applyFont="1"/>
    <xf numFmtId="165" fontId="3" fillId="0" borderId="19" xfId="1" applyNumberFormat="1" applyFont="1" applyBorder="1" applyAlignment="1">
      <alignment horizontal="center" vertical="center" wrapText="1"/>
    </xf>
    <xf numFmtId="8" fontId="1" fillId="0" borderId="7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8" fontId="13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10" fillId="0" borderId="0" xfId="0" applyFont="1"/>
    <xf numFmtId="0" fontId="5" fillId="5" borderId="1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66" fontId="14" fillId="0" borderId="0" xfId="0" applyNumberFormat="1" applyFont="1"/>
    <xf numFmtId="14" fontId="6" fillId="0" borderId="0" xfId="0" applyNumberFormat="1" applyFont="1"/>
  </cellXfs>
  <cellStyles count="2">
    <cellStyle name="Normal" xfId="0" builtinId="0"/>
    <cellStyle name="Normal_Planilha1" xfId="1" xr:uid="{255203B0-FB77-4610-89A8-AE003BD662D8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auxili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ORIO%20DE%20CONTRATOS%20VIGENTE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CONTRATO</v>
          </cell>
          <cell r="F1" t="str">
            <v>VALOR MENSAL</v>
          </cell>
        </row>
        <row r="2">
          <cell r="A2" t="str">
            <v>0018/2022</v>
          </cell>
          <cell r="F2">
            <v>377702.01</v>
          </cell>
        </row>
        <row r="3">
          <cell r="A3" t="str">
            <v>0018/2022</v>
          </cell>
          <cell r="F3">
            <v>22000</v>
          </cell>
        </row>
        <row r="4">
          <cell r="A4" t="str">
            <v>0018/2022</v>
          </cell>
        </row>
        <row r="5">
          <cell r="A5" t="str">
            <v>0227/2022</v>
          </cell>
          <cell r="F5">
            <v>88269.32</v>
          </cell>
        </row>
        <row r="6">
          <cell r="A6" t="str">
            <v>0227/2022</v>
          </cell>
          <cell r="F6">
            <v>10102.09</v>
          </cell>
        </row>
        <row r="7">
          <cell r="A7" t="str">
            <v>0227/2022</v>
          </cell>
          <cell r="F7">
            <v>12300.84</v>
          </cell>
        </row>
        <row r="8">
          <cell r="A8" t="str">
            <v>0227/2022</v>
          </cell>
          <cell r="F8">
            <v>12333.38</v>
          </cell>
        </row>
        <row r="9">
          <cell r="A9" t="str">
            <v>0135/2022</v>
          </cell>
          <cell r="F9">
            <v>40360.620000000003</v>
          </cell>
        </row>
        <row r="10">
          <cell r="A10" t="str">
            <v>1004/2024</v>
          </cell>
          <cell r="F10">
            <v>12745.1</v>
          </cell>
        </row>
        <row r="11">
          <cell r="A11" t="str">
            <v>0212/2022</v>
          </cell>
          <cell r="F11">
            <v>43944.05</v>
          </cell>
        </row>
        <row r="12">
          <cell r="A12" t="str">
            <v>0004/2022</v>
          </cell>
          <cell r="F12">
            <v>9641.9500000000007</v>
          </cell>
        </row>
        <row r="13">
          <cell r="A13" t="str">
            <v>0146/2022</v>
          </cell>
          <cell r="F13">
            <v>19298.740000000002</v>
          </cell>
        </row>
        <row r="14">
          <cell r="A14" t="str">
            <v>0112/2022</v>
          </cell>
          <cell r="F14">
            <v>378.43</v>
          </cell>
        </row>
        <row r="15">
          <cell r="A15" t="str">
            <v>0037/2022</v>
          </cell>
          <cell r="F15">
            <v>10766.21</v>
          </cell>
        </row>
        <row r="16">
          <cell r="A16" t="str">
            <v>5005/2023</v>
          </cell>
          <cell r="F16">
            <v>56.237499999999997</v>
          </cell>
        </row>
        <row r="17">
          <cell r="A17" t="str">
            <v>5007/2023</v>
          </cell>
          <cell r="F17">
            <v>6139.15</v>
          </cell>
        </row>
        <row r="18">
          <cell r="A18" t="str">
            <v>0069/2024</v>
          </cell>
          <cell r="F18">
            <v>4841.3500000000004</v>
          </cell>
        </row>
        <row r="19">
          <cell r="A19" t="str">
            <v>0035/2024</v>
          </cell>
          <cell r="F19">
            <v>4700.833333333333</v>
          </cell>
        </row>
        <row r="20">
          <cell r="A20" t="str">
            <v>0178/2022</v>
          </cell>
          <cell r="F20">
            <v>323.77999999999997</v>
          </cell>
        </row>
        <row r="21">
          <cell r="A21" t="str">
            <v>0030/2022</v>
          </cell>
          <cell r="F21">
            <v>15059.57</v>
          </cell>
        </row>
        <row r="22">
          <cell r="A22" t="str">
            <v>0083/2021</v>
          </cell>
          <cell r="F22">
            <v>10546.86</v>
          </cell>
        </row>
        <row r="23">
          <cell r="A23" t="str">
            <v>0183/2022</v>
          </cell>
          <cell r="F23">
            <v>383.01</v>
          </cell>
        </row>
        <row r="24">
          <cell r="A24" t="str">
            <v>0150/2022</v>
          </cell>
          <cell r="F24">
            <v>5942.4033333333</v>
          </cell>
        </row>
        <row r="25">
          <cell r="A25" t="str">
            <v>0207/2022</v>
          </cell>
          <cell r="F25">
            <v>4275.0200000000004</v>
          </cell>
        </row>
        <row r="26">
          <cell r="A26" t="str">
            <v>0027/2024</v>
          </cell>
          <cell r="F26">
            <v>1422.333333333333</v>
          </cell>
        </row>
        <row r="27">
          <cell r="A27" t="str">
            <v>0017/2023</v>
          </cell>
          <cell r="F27">
            <v>2697.49</v>
          </cell>
        </row>
        <row r="28">
          <cell r="A28" t="str">
            <v>0017/2023</v>
          </cell>
          <cell r="F28">
            <v>2840.9866666666662</v>
          </cell>
        </row>
        <row r="29">
          <cell r="A29" t="str">
            <v>0072/2023</v>
          </cell>
          <cell r="F29">
            <v>6467.33</v>
          </cell>
        </row>
        <row r="30">
          <cell r="A30" t="str">
            <v>0072/2023</v>
          </cell>
          <cell r="F30">
            <v>6492.15</v>
          </cell>
        </row>
        <row r="31">
          <cell r="A31" t="str">
            <v>0101/2023</v>
          </cell>
          <cell r="F31">
            <v>29699.61</v>
          </cell>
        </row>
        <row r="32">
          <cell r="A32" t="str">
            <v>0035/2022</v>
          </cell>
          <cell r="F32">
            <v>11036.24</v>
          </cell>
        </row>
        <row r="33">
          <cell r="A33" t="str">
            <v>0035/2022</v>
          </cell>
          <cell r="F33">
            <v>11382.12</v>
          </cell>
        </row>
        <row r="34">
          <cell r="A34" t="str">
            <v>0035/2022</v>
          </cell>
          <cell r="F34">
            <v>10825.42</v>
          </cell>
        </row>
        <row r="35">
          <cell r="A35" t="str">
            <v>0035/2022</v>
          </cell>
          <cell r="F35">
            <v>11628.66</v>
          </cell>
        </row>
        <row r="36">
          <cell r="A36" t="str">
            <v>0035/2022</v>
          </cell>
          <cell r="F36">
            <v>12942.28</v>
          </cell>
        </row>
        <row r="37">
          <cell r="A37" t="str">
            <v>0035/2022</v>
          </cell>
          <cell r="F37">
            <v>11036.24</v>
          </cell>
        </row>
        <row r="38">
          <cell r="A38" t="str">
            <v>0035/2022</v>
          </cell>
          <cell r="F38">
            <v>11382.12</v>
          </cell>
        </row>
        <row r="39">
          <cell r="A39" t="str">
            <v>0035/2022</v>
          </cell>
          <cell r="F39">
            <v>10825.42</v>
          </cell>
        </row>
        <row r="40">
          <cell r="A40" t="str">
            <v>0035/2022</v>
          </cell>
          <cell r="F40">
            <v>11638.69</v>
          </cell>
        </row>
        <row r="41">
          <cell r="A41" t="str">
            <v>0035/2022</v>
          </cell>
          <cell r="F41">
            <v>12942.28</v>
          </cell>
        </row>
        <row r="42">
          <cell r="A42" t="str">
            <v>0035/2022</v>
          </cell>
          <cell r="F42">
            <v>11462.86</v>
          </cell>
        </row>
        <row r="43">
          <cell r="A43" t="str">
            <v>0035/2022</v>
          </cell>
          <cell r="F43">
            <v>11382.12</v>
          </cell>
        </row>
        <row r="44">
          <cell r="A44" t="str">
            <v>0035/2022</v>
          </cell>
          <cell r="F44">
            <v>11068.73</v>
          </cell>
        </row>
        <row r="45">
          <cell r="A45" t="str">
            <v>0035/2022</v>
          </cell>
          <cell r="F45">
            <v>11953.79</v>
          </cell>
        </row>
        <row r="46">
          <cell r="A46" t="str">
            <v>0035/2022</v>
          </cell>
          <cell r="F46">
            <v>13606.4</v>
          </cell>
        </row>
        <row r="47">
          <cell r="A47" t="str">
            <v>0035/2022</v>
          </cell>
          <cell r="F47">
            <v>11462.86</v>
          </cell>
        </row>
        <row r="48">
          <cell r="A48" t="str">
            <v>0035/2022</v>
          </cell>
          <cell r="F48">
            <v>11430.83</v>
          </cell>
        </row>
        <row r="49">
          <cell r="A49" t="str">
            <v>0035/2022</v>
          </cell>
          <cell r="F49">
            <v>11068.73</v>
          </cell>
        </row>
        <row r="50">
          <cell r="A50" t="str">
            <v>0035/2022</v>
          </cell>
          <cell r="F50">
            <v>11953.79</v>
          </cell>
        </row>
        <row r="51">
          <cell r="A51" t="str">
            <v>0035/2022</v>
          </cell>
          <cell r="F51">
            <v>13606.4</v>
          </cell>
        </row>
        <row r="52">
          <cell r="A52" t="str">
            <v>0035/2022</v>
          </cell>
          <cell r="F52">
            <v>11462.86</v>
          </cell>
        </row>
        <row r="53">
          <cell r="A53" t="str">
            <v>0035/2022</v>
          </cell>
          <cell r="F53">
            <v>11430.83</v>
          </cell>
        </row>
        <row r="54">
          <cell r="A54" t="str">
            <v>0035/2022</v>
          </cell>
          <cell r="F54">
            <v>21484.33</v>
          </cell>
        </row>
        <row r="55">
          <cell r="A55" t="str">
            <v>0035/2022</v>
          </cell>
          <cell r="F55">
            <v>11953.79</v>
          </cell>
        </row>
        <row r="56">
          <cell r="A56" t="str">
            <v>0035/2022</v>
          </cell>
          <cell r="F56">
            <v>13606.4</v>
          </cell>
        </row>
        <row r="57">
          <cell r="A57" t="str">
            <v>0035/2022</v>
          </cell>
          <cell r="F57">
            <v>11527.55</v>
          </cell>
        </row>
        <row r="58">
          <cell r="A58" t="str">
            <v>0035/2022</v>
          </cell>
          <cell r="F58">
            <v>11430.83</v>
          </cell>
        </row>
        <row r="59">
          <cell r="A59" t="str">
            <v>0035/2022</v>
          </cell>
          <cell r="F59">
            <v>21484.33</v>
          </cell>
        </row>
        <row r="60">
          <cell r="A60" t="str">
            <v>0035/2022</v>
          </cell>
          <cell r="F60">
            <v>11953.79</v>
          </cell>
        </row>
        <row r="61">
          <cell r="A61" t="str">
            <v>0035/2022</v>
          </cell>
          <cell r="F61">
            <v>13606.4</v>
          </cell>
        </row>
        <row r="62">
          <cell r="A62" t="str">
            <v>0158/2022</v>
          </cell>
          <cell r="F62">
            <v>5885.19</v>
          </cell>
        </row>
        <row r="63">
          <cell r="A63" t="str">
            <v>0085/2025</v>
          </cell>
          <cell r="F63">
            <v>4392.75</v>
          </cell>
        </row>
        <row r="64">
          <cell r="A64" t="str">
            <v>0067/2022</v>
          </cell>
          <cell r="F64">
            <v>2638.17</v>
          </cell>
        </row>
        <row r="65">
          <cell r="A65" t="str">
            <v>0062/2022</v>
          </cell>
          <cell r="F65">
            <v>14084.13</v>
          </cell>
        </row>
        <row r="66">
          <cell r="A66" t="str">
            <v>0053/2025</v>
          </cell>
          <cell r="F66">
            <v>4499.33</v>
          </cell>
        </row>
        <row r="67">
          <cell r="A67" t="str">
            <v>0078/2025</v>
          </cell>
          <cell r="F67">
            <v>5066.9674999999997</v>
          </cell>
        </row>
        <row r="68">
          <cell r="A68" t="str">
            <v>0181/2022</v>
          </cell>
          <cell r="F68">
            <v>1958</v>
          </cell>
        </row>
        <row r="69">
          <cell r="A69" t="str">
            <v>0063/2022</v>
          </cell>
          <cell r="F69">
            <v>8900.39</v>
          </cell>
        </row>
        <row r="70">
          <cell r="A70" t="str">
            <v>0021/2024</v>
          </cell>
          <cell r="F70">
            <v>3046.916666666667</v>
          </cell>
        </row>
        <row r="71">
          <cell r="A71" t="str">
            <v>0021/2024</v>
          </cell>
        </row>
        <row r="72">
          <cell r="A72" t="str">
            <v>0086/2023</v>
          </cell>
          <cell r="F72">
            <v>9766.2900000000009</v>
          </cell>
        </row>
        <row r="73">
          <cell r="A73" t="str">
            <v>0112/2025</v>
          </cell>
          <cell r="F73">
            <v>12666.66</v>
          </cell>
        </row>
        <row r="74">
          <cell r="A74" t="str">
            <v>0034/2022</v>
          </cell>
          <cell r="F74">
            <v>1089.17</v>
          </cell>
        </row>
        <row r="75">
          <cell r="A75" t="str">
            <v>6001/2025</v>
          </cell>
          <cell r="F75">
            <v>5102.62</v>
          </cell>
        </row>
        <row r="76">
          <cell r="A76" t="str">
            <v>6001/2025</v>
          </cell>
          <cell r="F76">
            <v>5102.62</v>
          </cell>
        </row>
        <row r="77">
          <cell r="A77" t="str">
            <v>0077/2025</v>
          </cell>
          <cell r="F77">
            <v>3845.67</v>
          </cell>
        </row>
        <row r="78">
          <cell r="A78" t="str">
            <v>0124/2022</v>
          </cell>
          <cell r="F78">
            <v>407.36</v>
          </cell>
        </row>
        <row r="79">
          <cell r="A79" t="str">
            <v>0027/2022</v>
          </cell>
          <cell r="F79">
            <v>20468.21</v>
          </cell>
        </row>
        <row r="80">
          <cell r="A80" t="str">
            <v>0056/2023</v>
          </cell>
          <cell r="F80">
            <v>8952.8799999999992</v>
          </cell>
        </row>
        <row r="81">
          <cell r="A81" t="str">
            <v>0056/2023</v>
          </cell>
          <cell r="F81">
            <v>10101.89</v>
          </cell>
        </row>
        <row r="82">
          <cell r="A82" t="str">
            <v>0020/2024</v>
          </cell>
          <cell r="F82">
            <v>5598.2616666666663</v>
          </cell>
        </row>
        <row r="83">
          <cell r="A83" t="str">
            <v>0092/2020</v>
          </cell>
          <cell r="F83">
            <v>4205</v>
          </cell>
        </row>
        <row r="84">
          <cell r="A84" t="str">
            <v>0119/2023</v>
          </cell>
          <cell r="F84">
            <v>2283.333333333333</v>
          </cell>
        </row>
        <row r="85">
          <cell r="A85" t="str">
            <v>0068/2022</v>
          </cell>
          <cell r="F85">
            <v>3152.06</v>
          </cell>
        </row>
        <row r="86">
          <cell r="A86" t="str">
            <v>0077/2022</v>
          </cell>
          <cell r="F86">
            <v>6690.42</v>
          </cell>
        </row>
        <row r="87">
          <cell r="A87" t="str">
            <v>0253/2022</v>
          </cell>
          <cell r="F87">
            <v>10059.77</v>
          </cell>
        </row>
        <row r="88">
          <cell r="A88" t="str">
            <v>0253/2022</v>
          </cell>
          <cell r="F88">
            <v>10957.6</v>
          </cell>
        </row>
        <row r="89">
          <cell r="A89" t="str">
            <v>0023/2024</v>
          </cell>
          <cell r="F89">
            <v>2621.5</v>
          </cell>
        </row>
        <row r="90">
          <cell r="A90" t="str">
            <v>0114/2023</v>
          </cell>
          <cell r="F90">
            <v>500</v>
          </cell>
        </row>
        <row r="91">
          <cell r="A91" t="str">
            <v>0080/2024</v>
          </cell>
          <cell r="F91">
            <v>14653.96</v>
          </cell>
        </row>
        <row r="92">
          <cell r="A92" t="str">
            <v>0139/2022</v>
          </cell>
          <cell r="F92">
            <v>11157.73</v>
          </cell>
        </row>
        <row r="93">
          <cell r="A93" t="str">
            <v>0086/2025</v>
          </cell>
          <cell r="F93">
            <v>5166.66</v>
          </cell>
        </row>
        <row r="94">
          <cell r="A94" t="str">
            <v>0086/2025</v>
          </cell>
        </row>
        <row r="95">
          <cell r="A95" t="str">
            <v>0152/2021</v>
          </cell>
          <cell r="F95">
            <v>25138.57</v>
          </cell>
        </row>
        <row r="96">
          <cell r="A96" t="str">
            <v>0152/2021</v>
          </cell>
          <cell r="F96">
            <v>27060.21</v>
          </cell>
        </row>
        <row r="97">
          <cell r="A97" t="str">
            <v>0064/2022</v>
          </cell>
          <cell r="F97">
            <v>8911.19</v>
          </cell>
        </row>
        <row r="98">
          <cell r="A98" t="str">
            <v>0125/2020</v>
          </cell>
          <cell r="F98">
            <v>11595.06</v>
          </cell>
        </row>
        <row r="99">
          <cell r="A99" t="str">
            <v>0125/2020</v>
          </cell>
          <cell r="F99">
            <v>12377.27</v>
          </cell>
        </row>
        <row r="100">
          <cell r="A100" t="str">
            <v>0125/2020</v>
          </cell>
          <cell r="F100">
            <v>12419.32</v>
          </cell>
        </row>
        <row r="101">
          <cell r="A101" t="str">
            <v>0066/2022</v>
          </cell>
          <cell r="F101">
            <v>260.95999999999998</v>
          </cell>
        </row>
        <row r="102">
          <cell r="A102" t="str">
            <v>0065/2022</v>
          </cell>
          <cell r="F102">
            <v>12600.35</v>
          </cell>
        </row>
        <row r="103">
          <cell r="A103" t="str">
            <v>0094/2025</v>
          </cell>
          <cell r="F103">
            <v>3966</v>
          </cell>
        </row>
        <row r="104">
          <cell r="A104" t="str">
            <v>0022/2024</v>
          </cell>
          <cell r="F104">
            <v>2121</v>
          </cell>
        </row>
        <row r="105">
          <cell r="A105" t="str">
            <v>0022/2024</v>
          </cell>
        </row>
        <row r="106">
          <cell r="A106" t="str">
            <v>0096/2025</v>
          </cell>
          <cell r="F106">
            <v>11499.44</v>
          </cell>
        </row>
        <row r="107">
          <cell r="A107" t="str">
            <v>0096/2025</v>
          </cell>
          <cell r="F107">
            <v>5738.8</v>
          </cell>
        </row>
        <row r="108">
          <cell r="A108" t="str">
            <v>0096/2025</v>
          </cell>
          <cell r="F108">
            <v>11423.76</v>
          </cell>
        </row>
        <row r="109">
          <cell r="A109" t="str">
            <v>0096/2025</v>
          </cell>
          <cell r="F109">
            <v>5717.52</v>
          </cell>
        </row>
        <row r="110">
          <cell r="A110" t="str">
            <v>0243/2022</v>
          </cell>
          <cell r="F110">
            <v>92186.67</v>
          </cell>
        </row>
        <row r="111">
          <cell r="A111" t="str">
            <v>0243/2022</v>
          </cell>
          <cell r="F111">
            <v>78535.62</v>
          </cell>
        </row>
        <row r="112">
          <cell r="A112" t="str">
            <v>5004/2025</v>
          </cell>
          <cell r="F112">
            <v>344.58</v>
          </cell>
        </row>
        <row r="113">
          <cell r="A113" t="str">
            <v>0104/2022</v>
          </cell>
          <cell r="F113">
            <v>1037.83</v>
          </cell>
        </row>
        <row r="114">
          <cell r="A114" t="str">
            <v>0069/2022</v>
          </cell>
          <cell r="F114">
            <v>11558.4</v>
          </cell>
        </row>
        <row r="115">
          <cell r="A115" t="str">
            <v>0073/2024</v>
          </cell>
          <cell r="F115">
            <v>4874.16</v>
          </cell>
        </row>
        <row r="116">
          <cell r="A116" t="str">
            <v>0081/2024</v>
          </cell>
          <cell r="F116">
            <v>67323.199999999997</v>
          </cell>
        </row>
        <row r="117">
          <cell r="A117" t="str">
            <v>0011/2024</v>
          </cell>
          <cell r="F117">
            <v>812.5</v>
          </cell>
        </row>
        <row r="118">
          <cell r="A118" t="str">
            <v>0011/2024</v>
          </cell>
          <cell r="F118">
            <v>857.42</v>
          </cell>
        </row>
        <row r="119">
          <cell r="A119" t="str">
            <v>0033/2024</v>
          </cell>
          <cell r="F119">
            <v>3543.8125</v>
          </cell>
        </row>
        <row r="120">
          <cell r="A120" t="str">
            <v>0050/2023</v>
          </cell>
          <cell r="F120">
            <v>1700</v>
          </cell>
        </row>
        <row r="121">
          <cell r="A121" t="str">
            <v>0128/2022</v>
          </cell>
          <cell r="F121">
            <v>375.04</v>
          </cell>
        </row>
        <row r="122">
          <cell r="A122" t="str">
            <v>0118/2022</v>
          </cell>
          <cell r="F122">
            <v>4899.95</v>
          </cell>
        </row>
        <row r="123">
          <cell r="A123" t="str">
            <v>0008/2024</v>
          </cell>
          <cell r="F123">
            <v>5841.54</v>
          </cell>
        </row>
        <row r="124">
          <cell r="A124" t="str">
            <v>0008/2024</v>
          </cell>
          <cell r="F124">
            <v>5868.38</v>
          </cell>
        </row>
        <row r="125">
          <cell r="A125" t="str">
            <v>0160/2022</v>
          </cell>
          <cell r="F125">
            <v>286.89</v>
          </cell>
        </row>
        <row r="126">
          <cell r="A126" t="str">
            <v>0160/2022</v>
          </cell>
          <cell r="F126">
            <v>286.89</v>
          </cell>
        </row>
        <row r="127">
          <cell r="A127" t="str">
            <v>0159/2022</v>
          </cell>
          <cell r="F127">
            <v>901.49</v>
          </cell>
        </row>
        <row r="128">
          <cell r="A128" t="str">
            <v>0061/2022</v>
          </cell>
          <cell r="F128">
            <v>1515.36</v>
          </cell>
        </row>
        <row r="129">
          <cell r="A129" t="str">
            <v>0123/2022</v>
          </cell>
          <cell r="F129">
            <v>832.82</v>
          </cell>
        </row>
        <row r="130">
          <cell r="A130" t="str">
            <v>0034/2023</v>
          </cell>
          <cell r="F130">
            <v>3970.79</v>
          </cell>
        </row>
        <row r="131">
          <cell r="A131" t="str">
            <v>0186/2022</v>
          </cell>
          <cell r="F131">
            <v>369.73</v>
          </cell>
        </row>
        <row r="132">
          <cell r="A132" t="str">
            <v>0032/2022</v>
          </cell>
          <cell r="F132">
            <v>4106.07</v>
          </cell>
        </row>
        <row r="133">
          <cell r="A133" t="str">
            <v>0071/2023</v>
          </cell>
          <cell r="F133">
            <v>3691.47</v>
          </cell>
        </row>
        <row r="134">
          <cell r="A134" t="str">
            <v>0130/2022</v>
          </cell>
          <cell r="F134">
            <v>25137.94</v>
          </cell>
        </row>
        <row r="135">
          <cell r="A135" t="str">
            <v>0071/2022</v>
          </cell>
          <cell r="F135">
            <v>408.73200000000003</v>
          </cell>
        </row>
        <row r="136">
          <cell r="A136" t="str">
            <v>0041/2023</v>
          </cell>
          <cell r="F136">
            <v>14141.55</v>
          </cell>
        </row>
        <row r="137">
          <cell r="A137" t="str">
            <v>0041/2023</v>
          </cell>
          <cell r="F137">
            <v>14266.21</v>
          </cell>
        </row>
        <row r="138">
          <cell r="A138" t="str">
            <v>0088/2024</v>
          </cell>
          <cell r="F138">
            <v>870</v>
          </cell>
        </row>
        <row r="139">
          <cell r="A139" t="str">
            <v>0032/2024</v>
          </cell>
          <cell r="F139">
            <v>3898.333333333333</v>
          </cell>
        </row>
        <row r="140">
          <cell r="A140" t="str">
            <v>0032/2024</v>
          </cell>
        </row>
        <row r="141">
          <cell r="A141" t="str">
            <v>0060/2022</v>
          </cell>
          <cell r="F141">
            <v>1671.29</v>
          </cell>
        </row>
        <row r="142">
          <cell r="A142" t="str">
            <v>0098/2022</v>
          </cell>
          <cell r="F142">
            <v>11854.96</v>
          </cell>
        </row>
        <row r="143">
          <cell r="A143" t="str">
            <v>0012/2024</v>
          </cell>
          <cell r="F143">
            <v>10594.76</v>
          </cell>
        </row>
        <row r="144">
          <cell r="A144" t="str">
            <v>0097/2023</v>
          </cell>
          <cell r="F144">
            <v>574.33583333333331</v>
          </cell>
        </row>
        <row r="145">
          <cell r="A145" t="str">
            <v>0097/2023</v>
          </cell>
        </row>
        <row r="146">
          <cell r="A146" t="str">
            <v>0030/2024</v>
          </cell>
          <cell r="F146">
            <v>4379.25</v>
          </cell>
        </row>
        <row r="147">
          <cell r="A147" t="str">
            <v>0031/2022</v>
          </cell>
          <cell r="F147">
            <v>3721.59</v>
          </cell>
        </row>
        <row r="148">
          <cell r="A148" t="str">
            <v>0097/2022</v>
          </cell>
          <cell r="F148">
            <v>3796.5524999999998</v>
          </cell>
        </row>
        <row r="149">
          <cell r="A149" t="str">
            <v>0194/2020</v>
          </cell>
          <cell r="F149">
            <v>7833.92</v>
          </cell>
        </row>
        <row r="150">
          <cell r="A150" t="str">
            <v>0194/2020</v>
          </cell>
          <cell r="F150">
            <v>7833.92</v>
          </cell>
        </row>
        <row r="151">
          <cell r="A151" t="str">
            <v>0137/2022</v>
          </cell>
          <cell r="F151">
            <v>27147.64</v>
          </cell>
        </row>
        <row r="152">
          <cell r="A152" t="str">
            <v>0063/2024</v>
          </cell>
          <cell r="F152">
            <v>5293.55</v>
          </cell>
        </row>
        <row r="153">
          <cell r="A153" t="str">
            <v>0028/2024</v>
          </cell>
          <cell r="F153">
            <v>2061.916666666667</v>
          </cell>
        </row>
        <row r="154">
          <cell r="A154" t="str">
            <v>0231/2022</v>
          </cell>
          <cell r="F154">
            <v>206.87</v>
          </cell>
        </row>
        <row r="155">
          <cell r="A155" t="str">
            <v>0058/2022</v>
          </cell>
          <cell r="F155">
            <v>657.01</v>
          </cell>
        </row>
        <row r="156">
          <cell r="A156" t="str">
            <v>0239/2022</v>
          </cell>
          <cell r="F156">
            <v>1081.44</v>
          </cell>
        </row>
        <row r="157">
          <cell r="A157" t="str">
            <v>0111/2022</v>
          </cell>
          <cell r="F157">
            <v>1837.8</v>
          </cell>
        </row>
        <row r="158">
          <cell r="A158" t="str">
            <v>0078/2023</v>
          </cell>
          <cell r="F158">
            <v>4690.2</v>
          </cell>
        </row>
        <row r="159">
          <cell r="A159" t="str">
            <v>0029/2024</v>
          </cell>
          <cell r="F159">
            <v>2509.916666666667</v>
          </cell>
        </row>
        <row r="160">
          <cell r="A160" t="str">
            <v>0120/2023</v>
          </cell>
          <cell r="F160">
            <v>225702.67583333331</v>
          </cell>
        </row>
        <row r="161">
          <cell r="A161" t="str">
            <v>0120/2023</v>
          </cell>
          <cell r="F161">
            <v>235678.43333333329</v>
          </cell>
        </row>
        <row r="162">
          <cell r="A162" t="str">
            <v>0129/2022</v>
          </cell>
          <cell r="F162">
            <v>621.55999999999995</v>
          </cell>
        </row>
        <row r="163">
          <cell r="A163" t="str">
            <v>0138/2022</v>
          </cell>
          <cell r="F163">
            <v>6444.53</v>
          </cell>
        </row>
        <row r="164">
          <cell r="A164" t="str">
            <v>0077/2024</v>
          </cell>
          <cell r="F164">
            <v>5586.33</v>
          </cell>
        </row>
        <row r="165">
          <cell r="A165" t="str">
            <v>0031/2024</v>
          </cell>
          <cell r="F165">
            <v>1702.916666666667</v>
          </cell>
        </row>
        <row r="166">
          <cell r="A166" t="str">
            <v>0059/2022</v>
          </cell>
          <cell r="F166">
            <v>6032.27</v>
          </cell>
        </row>
        <row r="167">
          <cell r="A167" t="str">
            <v>0067/2024</v>
          </cell>
          <cell r="F167">
            <v>29161.83</v>
          </cell>
        </row>
        <row r="168">
          <cell r="A168" t="str">
            <v>5001/2024</v>
          </cell>
          <cell r="F168">
            <v>12336.27</v>
          </cell>
        </row>
        <row r="169">
          <cell r="A169" t="str">
            <v>0062/2024</v>
          </cell>
          <cell r="F169">
            <v>12449.49</v>
          </cell>
        </row>
        <row r="170">
          <cell r="A170" t="str">
            <v>0062/2024</v>
          </cell>
        </row>
        <row r="171">
          <cell r="A171" t="str">
            <v>0105/2023</v>
          </cell>
          <cell r="F171">
            <v>23787.13</v>
          </cell>
        </row>
        <row r="172">
          <cell r="A172" t="str">
            <v>0220/2022</v>
          </cell>
          <cell r="F172">
            <v>1592.83</v>
          </cell>
        </row>
        <row r="173">
          <cell r="A173" t="str">
            <v>0136/2022</v>
          </cell>
          <cell r="F173">
            <v>24411.24</v>
          </cell>
        </row>
        <row r="174">
          <cell r="A174" t="str">
            <v>0131/2020</v>
          </cell>
          <cell r="F174">
            <v>18149.55</v>
          </cell>
        </row>
        <row r="175">
          <cell r="A175" t="str">
            <v>0131/2020</v>
          </cell>
          <cell r="F175">
            <v>18149.55</v>
          </cell>
        </row>
        <row r="176">
          <cell r="A176" t="str">
            <v>0066/2024</v>
          </cell>
          <cell r="F176">
            <v>533.16666666666663</v>
          </cell>
        </row>
        <row r="177">
          <cell r="A177" t="str">
            <v>0065/2023</v>
          </cell>
          <cell r="F177">
            <v>1394.32</v>
          </cell>
        </row>
        <row r="178">
          <cell r="A178" t="str">
            <v>0065/2023</v>
          </cell>
          <cell r="F178">
            <v>1470.69</v>
          </cell>
        </row>
        <row r="179">
          <cell r="A179" t="str">
            <v>0187/2022</v>
          </cell>
          <cell r="F179">
            <v>5978.97</v>
          </cell>
        </row>
        <row r="180">
          <cell r="A180" t="str">
            <v>0070/2022</v>
          </cell>
          <cell r="F180">
            <v>17105.38</v>
          </cell>
        </row>
        <row r="181">
          <cell r="A181" t="str">
            <v>0097/2025</v>
          </cell>
          <cell r="F181">
            <v>6897.5</v>
          </cell>
        </row>
        <row r="182">
          <cell r="A182" t="str">
            <v>0005/2024</v>
          </cell>
          <cell r="F182">
            <v>5994.34</v>
          </cell>
        </row>
        <row r="183">
          <cell r="A183" t="str">
            <v>0005/2024</v>
          </cell>
          <cell r="F183">
            <v>6032.21</v>
          </cell>
        </row>
        <row r="184">
          <cell r="A184" t="str">
            <v>0095/2022</v>
          </cell>
          <cell r="F184">
            <v>355.15</v>
          </cell>
        </row>
        <row r="185">
          <cell r="A185" t="str">
            <v>0258/2022</v>
          </cell>
          <cell r="F185">
            <v>2863.41</v>
          </cell>
        </row>
        <row r="186">
          <cell r="A186" t="str">
            <v>0040/2024</v>
          </cell>
          <cell r="F186">
            <v>2160.6791666666668</v>
          </cell>
        </row>
        <row r="187">
          <cell r="A187" t="str">
            <v>0116/2022</v>
          </cell>
          <cell r="F187">
            <v>1970.28</v>
          </cell>
        </row>
        <row r="188">
          <cell r="A188" t="str">
            <v>0134/2022</v>
          </cell>
          <cell r="F188">
            <v>3489.65</v>
          </cell>
        </row>
        <row r="189">
          <cell r="A189" t="str">
            <v>0038/2021</v>
          </cell>
          <cell r="F189">
            <v>5139.0200000000004</v>
          </cell>
        </row>
        <row r="190">
          <cell r="A190" t="str">
            <v>0007/2025</v>
          </cell>
          <cell r="F190">
            <v>4517.3975</v>
          </cell>
        </row>
        <row r="191">
          <cell r="A191" t="str">
            <v>0022/2022</v>
          </cell>
          <cell r="F191">
            <v>1700</v>
          </cell>
        </row>
        <row r="192">
          <cell r="A192" t="str">
            <v>0103/2021</v>
          </cell>
          <cell r="F192">
            <v>11423.18</v>
          </cell>
        </row>
        <row r="193">
          <cell r="A193" t="str">
            <v>0081/2023</v>
          </cell>
          <cell r="F193">
            <v>19339.189999999999</v>
          </cell>
        </row>
        <row r="194">
          <cell r="A194" t="str">
            <v>0081/2023</v>
          </cell>
        </row>
        <row r="195">
          <cell r="A195" t="str">
            <v>0186/2022</v>
          </cell>
          <cell r="F195">
            <v>369.73</v>
          </cell>
        </row>
        <row r="196">
          <cell r="A196" t="str">
            <v>0149/2022</v>
          </cell>
          <cell r="F196">
            <v>2671.03</v>
          </cell>
        </row>
        <row r="197">
          <cell r="A197" t="str">
            <v>0203/2022</v>
          </cell>
          <cell r="F197">
            <v>4083.53</v>
          </cell>
        </row>
        <row r="198">
          <cell r="A198" t="str">
            <v>0263/2022</v>
          </cell>
          <cell r="F198">
            <v>11712.55</v>
          </cell>
        </row>
        <row r="199">
          <cell r="A199" t="str">
            <v>0263/2022</v>
          </cell>
          <cell r="F199">
            <v>22887.01</v>
          </cell>
        </row>
        <row r="200">
          <cell r="A200" t="str">
            <v>0263/2022</v>
          </cell>
          <cell r="F200">
            <v>11460.9</v>
          </cell>
        </row>
        <row r="201">
          <cell r="A201" t="str">
            <v>0263/2022</v>
          </cell>
          <cell r="F201">
            <v>12513.03</v>
          </cell>
        </row>
        <row r="202">
          <cell r="A202" t="str">
            <v>0263/2022</v>
          </cell>
          <cell r="F202">
            <v>24402.54</v>
          </cell>
        </row>
        <row r="203">
          <cell r="A203" t="str">
            <v>0263/2022</v>
          </cell>
          <cell r="F203">
            <v>12222</v>
          </cell>
        </row>
        <row r="204">
          <cell r="A204" t="str">
            <v>0085/2022</v>
          </cell>
          <cell r="F204">
            <v>303.02</v>
          </cell>
        </row>
        <row r="205">
          <cell r="A205" t="str">
            <v>0050/2024</v>
          </cell>
          <cell r="F205">
            <v>1633.58</v>
          </cell>
        </row>
        <row r="206">
          <cell r="A206" t="str">
            <v>0121/2022</v>
          </cell>
          <cell r="F206">
            <v>4037.38</v>
          </cell>
        </row>
        <row r="207">
          <cell r="A207" t="str">
            <v>0022/2023</v>
          </cell>
          <cell r="F207">
            <v>5296.44</v>
          </cell>
        </row>
        <row r="208">
          <cell r="A208" t="str">
            <v>0022/2023</v>
          </cell>
          <cell r="F208">
            <v>5301.72</v>
          </cell>
        </row>
        <row r="209">
          <cell r="A209" t="str">
            <v>0072/2022</v>
          </cell>
          <cell r="F209">
            <v>4322.76</v>
          </cell>
        </row>
        <row r="210">
          <cell r="A210" t="str">
            <v>0045/2023</v>
          </cell>
          <cell r="F210">
            <v>5191.66</v>
          </cell>
        </row>
        <row r="211">
          <cell r="A211" t="str">
            <v>0045/2023</v>
          </cell>
          <cell r="F211">
            <v>5197.1499999999996</v>
          </cell>
        </row>
        <row r="212">
          <cell r="A212" t="str">
            <v>0126/2022</v>
          </cell>
          <cell r="F212">
            <v>310.27999999999997</v>
          </cell>
        </row>
        <row r="213">
          <cell r="A213" t="str">
            <v>0076/2022</v>
          </cell>
          <cell r="F213">
            <v>6839.37</v>
          </cell>
        </row>
        <row r="214">
          <cell r="A214" t="str">
            <v>0002/2025</v>
          </cell>
          <cell r="F214">
            <v>4443.1000000000004</v>
          </cell>
        </row>
        <row r="215">
          <cell r="A215" t="str">
            <v>0086/2022</v>
          </cell>
          <cell r="F215">
            <v>5672.69</v>
          </cell>
        </row>
        <row r="216">
          <cell r="A216" t="str">
            <v>0004/2021</v>
          </cell>
          <cell r="F216">
            <v>4896.04</v>
          </cell>
        </row>
        <row r="217">
          <cell r="A217" t="str">
            <v>0034/2024</v>
          </cell>
          <cell r="F217">
            <v>492.36583333333328</v>
          </cell>
        </row>
        <row r="218">
          <cell r="A218" t="str">
            <v>0102/2022</v>
          </cell>
          <cell r="F218">
            <v>2602.31</v>
          </cell>
        </row>
        <row r="219">
          <cell r="A219" t="str">
            <v>0120/2022</v>
          </cell>
          <cell r="F219">
            <v>8439.35</v>
          </cell>
        </row>
        <row r="220">
          <cell r="A220" t="str">
            <v>0064/2024</v>
          </cell>
          <cell r="F220">
            <v>13460.64</v>
          </cell>
        </row>
        <row r="221">
          <cell r="A221" t="str">
            <v>0064/2024</v>
          </cell>
          <cell r="F221">
            <v>14386.78</v>
          </cell>
        </row>
        <row r="222">
          <cell r="A222" t="str">
            <v>0105/2022</v>
          </cell>
          <cell r="F222">
            <v>897.26083333333315</v>
          </cell>
        </row>
        <row r="223">
          <cell r="A223" t="str">
            <v>0105/2022</v>
          </cell>
          <cell r="F223">
            <v>946.40583333333325</v>
          </cell>
        </row>
        <row r="224">
          <cell r="A224" t="str">
            <v>0115/2023</v>
          </cell>
          <cell r="F224">
            <v>257.60000000000002</v>
          </cell>
        </row>
        <row r="225">
          <cell r="A225" t="str">
            <v>0161/2022</v>
          </cell>
          <cell r="F225">
            <v>2068.5300000000002</v>
          </cell>
        </row>
        <row r="226">
          <cell r="A226" t="str">
            <v>0111/2023</v>
          </cell>
          <cell r="F226">
            <v>353.73</v>
          </cell>
        </row>
        <row r="227">
          <cell r="A227" t="str">
            <v>0071/2024</v>
          </cell>
          <cell r="F227">
            <v>10242.42</v>
          </cell>
        </row>
        <row r="228">
          <cell r="A228" t="str">
            <v>0039/2024</v>
          </cell>
          <cell r="F228">
            <v>2755.333333333333</v>
          </cell>
        </row>
        <row r="229">
          <cell r="A229" t="str">
            <v>0104/2023</v>
          </cell>
          <cell r="F229">
            <v>1818.8608333333329</v>
          </cell>
        </row>
        <row r="230">
          <cell r="A230" t="str">
            <v>0104/2023</v>
          </cell>
          <cell r="F230">
            <v>1919.439166666667</v>
          </cell>
        </row>
        <row r="231">
          <cell r="A231" t="str">
            <v>0087/2022</v>
          </cell>
          <cell r="F231">
            <v>624.13</v>
          </cell>
        </row>
        <row r="232">
          <cell r="A232" t="str">
            <v>0078/2022</v>
          </cell>
          <cell r="F232">
            <v>10806.17</v>
          </cell>
        </row>
        <row r="233">
          <cell r="A233" t="str">
            <v>0112/2023</v>
          </cell>
          <cell r="F233">
            <v>10131.01</v>
          </cell>
        </row>
        <row r="234">
          <cell r="A234" t="str">
            <v>0026/2024</v>
          </cell>
          <cell r="F234">
            <v>2866.916666666667</v>
          </cell>
        </row>
        <row r="235">
          <cell r="A235" t="str">
            <v>0096/2023</v>
          </cell>
          <cell r="F235">
            <v>1541.35</v>
          </cell>
        </row>
        <row r="236">
          <cell r="A236" t="str">
            <v>0084/2022</v>
          </cell>
          <cell r="F236">
            <v>657.07</v>
          </cell>
        </row>
        <row r="237">
          <cell r="A237" t="str">
            <v>0039/2022</v>
          </cell>
          <cell r="F237">
            <v>5144.9383333333299</v>
          </cell>
        </row>
        <row r="238">
          <cell r="A238" t="str">
            <v>5001/2025</v>
          </cell>
          <cell r="F238">
            <v>1208.0291666666601</v>
          </cell>
        </row>
        <row r="239">
          <cell r="A239" t="str">
            <v>0028/2023</v>
          </cell>
          <cell r="F239">
            <v>5482.28</v>
          </cell>
        </row>
        <row r="240">
          <cell r="A240" t="str">
            <v>0051/2024</v>
          </cell>
          <cell r="F240">
            <v>2634.75</v>
          </cell>
        </row>
        <row r="241">
          <cell r="A241" t="str">
            <v>0088/2023</v>
          </cell>
          <cell r="F241">
            <v>900</v>
          </cell>
        </row>
        <row r="242">
          <cell r="A242" t="str">
            <v>0049/2022</v>
          </cell>
          <cell r="F242">
            <v>353.4</v>
          </cell>
        </row>
        <row r="243">
          <cell r="A243" t="str">
            <v>0088/2022</v>
          </cell>
          <cell r="F243">
            <v>3336.51</v>
          </cell>
        </row>
        <row r="244">
          <cell r="A244" t="str">
            <v>0055/2023</v>
          </cell>
          <cell r="F244">
            <v>4370.97</v>
          </cell>
        </row>
        <row r="245">
          <cell r="A245" t="str">
            <v>0055/2023</v>
          </cell>
          <cell r="F245">
            <v>4688.5</v>
          </cell>
        </row>
        <row r="246">
          <cell r="A246" t="str">
            <v>0037/2024</v>
          </cell>
          <cell r="F246">
            <v>3043.5</v>
          </cell>
        </row>
        <row r="247">
          <cell r="A247" t="str">
            <v>0113/2022</v>
          </cell>
          <cell r="F247">
            <v>625.36</v>
          </cell>
        </row>
        <row r="248">
          <cell r="A248" t="str">
            <v>0041/2022</v>
          </cell>
          <cell r="F248">
            <v>3724.67</v>
          </cell>
        </row>
        <row r="249">
          <cell r="A249" t="str">
            <v>0199/2022</v>
          </cell>
          <cell r="F249">
            <v>6940.64</v>
          </cell>
        </row>
        <row r="250">
          <cell r="A250" t="str">
            <v>0199/2022</v>
          </cell>
          <cell r="F250">
            <v>6947.92</v>
          </cell>
        </row>
        <row r="251">
          <cell r="A251" t="str">
            <v>0038/2024</v>
          </cell>
          <cell r="F251">
            <v>3013</v>
          </cell>
        </row>
        <row r="252">
          <cell r="A252" t="str">
            <v>S/N</v>
          </cell>
          <cell r="F252">
            <v>108316.88</v>
          </cell>
        </row>
        <row r="253">
          <cell r="A253" t="str">
            <v>0028/2022</v>
          </cell>
          <cell r="F253">
            <v>3211.06</v>
          </cell>
        </row>
        <row r="254">
          <cell r="A254" t="str">
            <v>0079/2024</v>
          </cell>
          <cell r="F254">
            <v>4931.88</v>
          </cell>
        </row>
        <row r="255">
          <cell r="A255" t="str">
            <v>0079/2024</v>
          </cell>
          <cell r="F255">
            <v>4937.1899999999996</v>
          </cell>
        </row>
        <row r="256">
          <cell r="A256" t="str">
            <v>0024/2024</v>
          </cell>
          <cell r="F256">
            <v>1567.5</v>
          </cell>
        </row>
        <row r="257">
          <cell r="A257" t="str">
            <v>0029/2022</v>
          </cell>
          <cell r="F257">
            <v>8784.5300000000007</v>
          </cell>
        </row>
        <row r="258">
          <cell r="A258" t="str">
            <v>0241/2022</v>
          </cell>
          <cell r="F258">
            <v>4923.5600000000004</v>
          </cell>
        </row>
        <row r="259">
          <cell r="A259" t="str">
            <v>0241/2022</v>
          </cell>
          <cell r="F259">
            <v>4928.82</v>
          </cell>
        </row>
        <row r="260">
          <cell r="A260" t="str">
            <v>0025/2024</v>
          </cell>
          <cell r="F260">
            <v>2445.3816666666671</v>
          </cell>
        </row>
        <row r="261">
          <cell r="A261" t="str">
            <v>0083/2022</v>
          </cell>
          <cell r="F261">
            <v>414.64</v>
          </cell>
        </row>
        <row r="262">
          <cell r="A262" t="str">
            <v>0082/2022</v>
          </cell>
          <cell r="F262">
            <v>8259.41</v>
          </cell>
        </row>
        <row r="263">
          <cell r="A263" t="str">
            <v>0024/2023</v>
          </cell>
          <cell r="F263">
            <v>4560.58</v>
          </cell>
        </row>
        <row r="264">
          <cell r="A264" t="str">
            <v>0024/2023</v>
          </cell>
          <cell r="F264">
            <v>4888.75</v>
          </cell>
        </row>
        <row r="265">
          <cell r="A265" t="str">
            <v>0109/2022</v>
          </cell>
          <cell r="F265">
            <v>239.7</v>
          </cell>
        </row>
        <row r="266">
          <cell r="A266" t="str">
            <v>0042/2022</v>
          </cell>
          <cell r="F266">
            <v>3504.84</v>
          </cell>
        </row>
        <row r="267">
          <cell r="A267" t="str">
            <v>0002/2024</v>
          </cell>
          <cell r="F267">
            <v>5505.76</v>
          </cell>
        </row>
        <row r="268">
          <cell r="A268" t="str">
            <v>0036/2024</v>
          </cell>
          <cell r="F268">
            <v>1894.333333333333</v>
          </cell>
        </row>
        <row r="269">
          <cell r="A269" t="str">
            <v>0068/2024</v>
          </cell>
          <cell r="F269">
            <v>132692.53</v>
          </cell>
        </row>
        <row r="270">
          <cell r="A270" t="str">
            <v>0068/2024</v>
          </cell>
          <cell r="F270">
            <v>117379.05</v>
          </cell>
        </row>
        <row r="271">
          <cell r="A271" t="str">
            <v>0111/2025</v>
          </cell>
          <cell r="F271">
            <v>5196.6499999999996</v>
          </cell>
        </row>
        <row r="272">
          <cell r="A272" t="str">
            <v>0109/2020</v>
          </cell>
          <cell r="F272">
            <v>65450.02</v>
          </cell>
        </row>
        <row r="273">
          <cell r="A273" t="str">
            <v>0001/2023</v>
          </cell>
          <cell r="F273">
            <v>11220.8</v>
          </cell>
        </row>
        <row r="274">
          <cell r="A274" t="str">
            <v>0001/2023</v>
          </cell>
          <cell r="F274">
            <v>10837.86</v>
          </cell>
        </row>
        <row r="275">
          <cell r="A275" t="str">
            <v>0001/2023</v>
          </cell>
          <cell r="F275">
            <v>11338.67</v>
          </cell>
        </row>
        <row r="276">
          <cell r="A276" t="str">
            <v>0001/2023</v>
          </cell>
          <cell r="F276">
            <v>11518.95</v>
          </cell>
        </row>
        <row r="277">
          <cell r="A277" t="str">
            <v>0001/2023</v>
          </cell>
          <cell r="F277">
            <v>25122.45</v>
          </cell>
        </row>
        <row r="278">
          <cell r="A278" t="str">
            <v>0001/2023</v>
          </cell>
          <cell r="F278">
            <v>12452.8</v>
          </cell>
        </row>
        <row r="279">
          <cell r="A279" t="str">
            <v>0036/2023</v>
          </cell>
          <cell r="F279">
            <v>40068.629999999997</v>
          </cell>
        </row>
        <row r="280">
          <cell r="A280" t="str">
            <v>0036/2023</v>
          </cell>
          <cell r="F280">
            <v>7025.07</v>
          </cell>
        </row>
        <row r="281">
          <cell r="A281" t="str">
            <v>0036/2023</v>
          </cell>
          <cell r="F281">
            <v>653.33000000000004</v>
          </cell>
        </row>
        <row r="282">
          <cell r="A282" t="str">
            <v>0036/2023</v>
          </cell>
          <cell r="F282">
            <v>597.51</v>
          </cell>
        </row>
        <row r="283">
          <cell r="A283" t="str">
            <v>0036/2023</v>
          </cell>
          <cell r="F283">
            <v>366.6</v>
          </cell>
        </row>
        <row r="284">
          <cell r="A284" t="str">
            <v>0036/2023</v>
          </cell>
          <cell r="F284">
            <v>297.7</v>
          </cell>
        </row>
        <row r="285">
          <cell r="A285" t="str">
            <v>0036/2023</v>
          </cell>
          <cell r="F285">
            <v>40544.69</v>
          </cell>
        </row>
        <row r="286">
          <cell r="A286" t="str">
            <v>0036/2023</v>
          </cell>
          <cell r="F286">
            <v>40068.629999999997</v>
          </cell>
        </row>
        <row r="287">
          <cell r="A287" t="str">
            <v>0036/2023</v>
          </cell>
          <cell r="F287">
            <v>7025.07</v>
          </cell>
        </row>
        <row r="288">
          <cell r="A288" t="str">
            <v>0036/2023</v>
          </cell>
          <cell r="F288">
            <v>653.33000000000004</v>
          </cell>
        </row>
        <row r="289">
          <cell r="A289" t="str">
            <v>0036/2023</v>
          </cell>
          <cell r="F289">
            <v>597.51</v>
          </cell>
        </row>
        <row r="290">
          <cell r="A290" t="str">
            <v>0036/2023</v>
          </cell>
          <cell r="F290">
            <v>366.6</v>
          </cell>
        </row>
        <row r="291">
          <cell r="A291" t="str">
            <v>0036/2023</v>
          </cell>
          <cell r="F291">
            <v>297.7</v>
          </cell>
        </row>
        <row r="292">
          <cell r="A292" t="str">
            <v>0036/2023</v>
          </cell>
          <cell r="F292">
            <v>40544.69</v>
          </cell>
        </row>
        <row r="293">
          <cell r="A293" t="str">
            <v>0036/2023</v>
          </cell>
          <cell r="F293">
            <v>40068.629999999997</v>
          </cell>
        </row>
        <row r="294">
          <cell r="A294" t="str">
            <v>0036/2023</v>
          </cell>
          <cell r="F294">
            <v>7025.07</v>
          </cell>
        </row>
        <row r="295">
          <cell r="A295" t="str">
            <v>0036/2023</v>
          </cell>
          <cell r="F295">
            <v>653.33000000000004</v>
          </cell>
        </row>
        <row r="296">
          <cell r="A296" t="str">
            <v>0036/2023</v>
          </cell>
          <cell r="F296">
            <v>597.51</v>
          </cell>
        </row>
        <row r="297">
          <cell r="A297" t="str">
            <v>0036/2023</v>
          </cell>
          <cell r="F297">
            <v>366.6</v>
          </cell>
        </row>
        <row r="298">
          <cell r="A298" t="str">
            <v>0036/2023</v>
          </cell>
          <cell r="F298">
            <v>297.7</v>
          </cell>
        </row>
        <row r="299">
          <cell r="A299" t="str">
            <v>0036/2023</v>
          </cell>
          <cell r="F299">
            <v>40544.69</v>
          </cell>
        </row>
        <row r="300">
          <cell r="A300" t="str">
            <v>5000/2025</v>
          </cell>
          <cell r="F300">
            <v>116.93</v>
          </cell>
        </row>
        <row r="301">
          <cell r="A301" t="str">
            <v>0091/2022</v>
          </cell>
          <cell r="F301">
            <v>4315.21</v>
          </cell>
        </row>
        <row r="302">
          <cell r="A302" t="str">
            <v>1013/2023</v>
          </cell>
          <cell r="F302">
            <v>6204.01</v>
          </cell>
        </row>
        <row r="303">
          <cell r="A303" t="str">
            <v>1013/2023</v>
          </cell>
          <cell r="F303">
            <v>6204.01</v>
          </cell>
        </row>
        <row r="304">
          <cell r="A304" t="str">
            <v>0001/2025</v>
          </cell>
          <cell r="F304">
            <v>19666.669999999998</v>
          </cell>
        </row>
        <row r="305">
          <cell r="A305" t="str">
            <v>0001/2025</v>
          </cell>
        </row>
        <row r="306">
          <cell r="A306" t="str">
            <v>0009/2023</v>
          </cell>
          <cell r="F306">
            <v>22224.74</v>
          </cell>
        </row>
        <row r="307">
          <cell r="A307" t="str">
            <v>0009/2023</v>
          </cell>
          <cell r="F307">
            <v>22224.74</v>
          </cell>
        </row>
        <row r="308">
          <cell r="A308" t="str">
            <v>0029/2023</v>
          </cell>
          <cell r="F308">
            <v>1241.54</v>
          </cell>
        </row>
        <row r="309">
          <cell r="A309" t="str">
            <v>0018/2024</v>
          </cell>
          <cell r="F309">
            <v>4606.6666666666661</v>
          </cell>
        </row>
        <row r="310">
          <cell r="A310" t="str">
            <v>0046/2022</v>
          </cell>
          <cell r="F310">
            <v>4602.7299999999996</v>
          </cell>
        </row>
        <row r="311">
          <cell r="A311" t="str">
            <v>0108/2022</v>
          </cell>
          <cell r="F311">
            <v>14410.42</v>
          </cell>
        </row>
        <row r="312">
          <cell r="A312" t="str">
            <v>0013/2024</v>
          </cell>
          <cell r="F312">
            <v>280</v>
          </cell>
        </row>
        <row r="313">
          <cell r="A313" t="str">
            <v>0013/2024</v>
          </cell>
          <cell r="F313"/>
        </row>
        <row r="314">
          <cell r="A314" t="str">
            <v>5000/2023</v>
          </cell>
          <cell r="F314">
            <v>307.35000000000002</v>
          </cell>
        </row>
        <row r="315">
          <cell r="A315" t="str">
            <v>5001/2023</v>
          </cell>
          <cell r="F315">
            <v>426.4</v>
          </cell>
        </row>
        <row r="316">
          <cell r="A316" t="str">
            <v>0251/2022</v>
          </cell>
          <cell r="F316">
            <v>5374.23</v>
          </cell>
        </row>
        <row r="317">
          <cell r="A317" t="str">
            <v>0014/2024</v>
          </cell>
          <cell r="F317">
            <v>2770.833333333333</v>
          </cell>
        </row>
        <row r="318">
          <cell r="A318" t="str">
            <v>0102/2023</v>
          </cell>
          <cell r="F318">
            <v>1166.6500000000001</v>
          </cell>
        </row>
        <row r="319">
          <cell r="A319" t="str">
            <v>5006/2023</v>
          </cell>
          <cell r="F319">
            <v>1397.04</v>
          </cell>
        </row>
        <row r="320">
          <cell r="A320" t="str">
            <v>5002/2024</v>
          </cell>
          <cell r="F320">
            <v>78.7</v>
          </cell>
        </row>
        <row r="321">
          <cell r="A321" t="str">
            <v>0065/2024</v>
          </cell>
          <cell r="F321">
            <v>5139.54</v>
          </cell>
        </row>
        <row r="322">
          <cell r="A322" t="str">
            <v>0017/2024</v>
          </cell>
          <cell r="F322">
            <v>2083.5</v>
          </cell>
        </row>
        <row r="323">
          <cell r="A323" t="str">
            <v>0073/2022</v>
          </cell>
          <cell r="F323">
            <v>2508.9899999999998</v>
          </cell>
        </row>
        <row r="324">
          <cell r="A324" t="str">
            <v>0090/2022</v>
          </cell>
          <cell r="F324">
            <v>750.5</v>
          </cell>
        </row>
        <row r="325">
          <cell r="A325" t="str">
            <v>0019/2022</v>
          </cell>
          <cell r="F325">
            <v>6490.75</v>
          </cell>
        </row>
        <row r="326">
          <cell r="A326" t="str">
            <v>0019/2022</v>
          </cell>
          <cell r="F326">
            <v>6553.17</v>
          </cell>
        </row>
        <row r="327">
          <cell r="A327" t="str">
            <v>0042/2024</v>
          </cell>
          <cell r="F327">
            <v>2294.583333333333</v>
          </cell>
        </row>
        <row r="328">
          <cell r="A328" t="str">
            <v>0044/2022</v>
          </cell>
          <cell r="F328">
            <v>12597.02</v>
          </cell>
        </row>
        <row r="329">
          <cell r="A329" t="str">
            <v>0075/2024</v>
          </cell>
          <cell r="F329">
            <v>4374.47</v>
          </cell>
        </row>
        <row r="330">
          <cell r="A330" t="str">
            <v>0019/2024</v>
          </cell>
          <cell r="F330">
            <v>1884.583333333333</v>
          </cell>
        </row>
        <row r="331">
          <cell r="A331" t="str">
            <v>0155/2022</v>
          </cell>
          <cell r="F331">
            <v>3374.56</v>
          </cell>
        </row>
        <row r="332">
          <cell r="A332" t="str">
            <v>0048/2022</v>
          </cell>
          <cell r="F332">
            <v>3928.84</v>
          </cell>
        </row>
        <row r="333">
          <cell r="A333" t="str">
            <v>0059/2024</v>
          </cell>
          <cell r="F333">
            <v>4889.9799999999996</v>
          </cell>
        </row>
        <row r="334">
          <cell r="A334" t="str">
            <v>0053/2024</v>
          </cell>
          <cell r="F334">
            <v>14819.78</v>
          </cell>
        </row>
        <row r="335">
          <cell r="A335" t="str">
            <v>0184/2022</v>
          </cell>
          <cell r="F335">
            <v>520.84</v>
          </cell>
        </row>
        <row r="336">
          <cell r="A336" t="str">
            <v>0047/2022</v>
          </cell>
          <cell r="F336">
            <v>3158.51</v>
          </cell>
        </row>
        <row r="337">
          <cell r="A337" t="str">
            <v>0115/2022</v>
          </cell>
          <cell r="F337">
            <v>4907.9799999999996</v>
          </cell>
        </row>
        <row r="338">
          <cell r="A338" t="str">
            <v>0090/2025</v>
          </cell>
          <cell r="F338">
            <v>1788</v>
          </cell>
        </row>
        <row r="339">
          <cell r="A339" t="str">
            <v>5003/2025</v>
          </cell>
          <cell r="F339">
            <v>2227.75</v>
          </cell>
        </row>
        <row r="340">
          <cell r="A340" t="str">
            <v>0164/2022</v>
          </cell>
          <cell r="F340">
            <v>5463.01</v>
          </cell>
        </row>
        <row r="341">
          <cell r="A341" t="str">
            <v>0156/2022</v>
          </cell>
          <cell r="F341">
            <v>4345</v>
          </cell>
        </row>
        <row r="342">
          <cell r="A342" t="str">
            <v>0075/2022</v>
          </cell>
          <cell r="F342">
            <v>13023.56</v>
          </cell>
        </row>
        <row r="343">
          <cell r="A343" t="str">
            <v>0070/2024</v>
          </cell>
          <cell r="F343">
            <v>4583.32</v>
          </cell>
        </row>
        <row r="344">
          <cell r="A344" t="str">
            <v>0070/2024</v>
          </cell>
          <cell r="F344">
            <v>4815.1099999999997</v>
          </cell>
        </row>
        <row r="345">
          <cell r="A345" t="str">
            <v>0070/2024</v>
          </cell>
          <cell r="F345">
            <v>4817.09</v>
          </cell>
        </row>
        <row r="346">
          <cell r="A346" t="str">
            <v>0070/2024</v>
          </cell>
          <cell r="F346">
            <v>4841.7</v>
          </cell>
        </row>
        <row r="347">
          <cell r="A347" t="str">
            <v>0089/2025</v>
          </cell>
          <cell r="F347">
            <v>4361.53</v>
          </cell>
        </row>
        <row r="348">
          <cell r="A348" t="str">
            <v>0162/2022</v>
          </cell>
          <cell r="F348">
            <v>335.68</v>
          </cell>
        </row>
        <row r="349">
          <cell r="A349" t="str">
            <v>0162/2022</v>
          </cell>
          <cell r="F349">
            <v>335.68</v>
          </cell>
        </row>
        <row r="350">
          <cell r="A350" t="str">
            <v>0043/2022</v>
          </cell>
          <cell r="F350">
            <v>4583.93</v>
          </cell>
        </row>
        <row r="351">
          <cell r="A351" t="str">
            <v>0087/2025</v>
          </cell>
          <cell r="F351">
            <v>4500</v>
          </cell>
        </row>
        <row r="352">
          <cell r="A352" t="str">
            <v>0087/2025</v>
          </cell>
          <cell r="F352">
            <v>5096.84</v>
          </cell>
        </row>
        <row r="353">
          <cell r="A353" t="str">
            <v>0041/2024</v>
          </cell>
          <cell r="F353">
            <v>2346.083333333333</v>
          </cell>
        </row>
        <row r="354">
          <cell r="A354" t="str">
            <v>0153/2022</v>
          </cell>
          <cell r="F354">
            <v>36353.760000000002</v>
          </cell>
        </row>
        <row r="355">
          <cell r="A355" t="str">
            <v>0055/2022</v>
          </cell>
          <cell r="F355">
            <v>354.6</v>
          </cell>
        </row>
        <row r="356">
          <cell r="A356" t="str">
            <v>0131/2022</v>
          </cell>
          <cell r="F356">
            <v>52933.15</v>
          </cell>
        </row>
        <row r="357">
          <cell r="A357" t="str">
            <v>0169/2021</v>
          </cell>
          <cell r="F357">
            <v>4759.9799999999996</v>
          </cell>
        </row>
        <row r="358">
          <cell r="A358" t="str">
            <v>0044/2024</v>
          </cell>
          <cell r="F358">
            <v>3037.5</v>
          </cell>
        </row>
        <row r="359">
          <cell r="A359" t="str">
            <v>0043/2024</v>
          </cell>
          <cell r="F359">
            <v>2156.666666666667</v>
          </cell>
        </row>
        <row r="360">
          <cell r="A360" t="str">
            <v>5004/2023</v>
          </cell>
          <cell r="F360">
            <v>886.36</v>
          </cell>
        </row>
        <row r="361">
          <cell r="A361" t="str">
            <v>0107/2022</v>
          </cell>
          <cell r="F361">
            <v>336.41</v>
          </cell>
        </row>
        <row r="362">
          <cell r="A362" t="str">
            <v>0051/2022</v>
          </cell>
          <cell r="F362">
            <v>4428.99</v>
          </cell>
        </row>
        <row r="363">
          <cell r="A363" t="str">
            <v>0024/2022</v>
          </cell>
          <cell r="F363">
            <v>6865.24</v>
          </cell>
        </row>
        <row r="364">
          <cell r="A364" t="str">
            <v>0092/2025</v>
          </cell>
          <cell r="F364">
            <v>1892.5</v>
          </cell>
        </row>
        <row r="365">
          <cell r="A365" t="str">
            <v>0046/2023</v>
          </cell>
          <cell r="F365">
            <v>31696.38</v>
          </cell>
        </row>
        <row r="366">
          <cell r="A366" t="str">
            <v>0046/2023</v>
          </cell>
          <cell r="F366"/>
        </row>
        <row r="367">
          <cell r="A367" t="str">
            <v>0001/2024</v>
          </cell>
          <cell r="F367">
            <v>324204.25</v>
          </cell>
        </row>
        <row r="368">
          <cell r="A368" t="str">
            <v>0089/2022</v>
          </cell>
          <cell r="F368">
            <v>139.01</v>
          </cell>
        </row>
        <row r="369">
          <cell r="A369" t="str">
            <v>0163/2022</v>
          </cell>
          <cell r="F369">
            <v>36184.68</v>
          </cell>
        </row>
        <row r="370">
          <cell r="A370" t="str">
            <v>0054/2024</v>
          </cell>
          <cell r="F370">
            <v>5042.24</v>
          </cell>
        </row>
        <row r="371">
          <cell r="A371" t="str">
            <v>0093/2025</v>
          </cell>
          <cell r="F371">
            <v>1936.333333333333</v>
          </cell>
        </row>
        <row r="372">
          <cell r="A372" t="str">
            <v>0119/2022</v>
          </cell>
          <cell r="F372">
            <v>244.09</v>
          </cell>
        </row>
        <row r="373">
          <cell r="A373" t="str">
            <v>0100/2022</v>
          </cell>
          <cell r="F373">
            <v>3423.01</v>
          </cell>
        </row>
        <row r="374">
          <cell r="A374" t="str">
            <v>0016/2024</v>
          </cell>
          <cell r="F374">
            <v>2583.333333333333</v>
          </cell>
        </row>
        <row r="375">
          <cell r="A375" t="str">
            <v>0074/2024</v>
          </cell>
          <cell r="F375">
            <v>4437.68</v>
          </cell>
        </row>
        <row r="376">
          <cell r="A376" t="str">
            <v>0052/2022</v>
          </cell>
          <cell r="F376">
            <v>1109.17</v>
          </cell>
        </row>
        <row r="377">
          <cell r="A377" t="str">
            <v>0079/2022</v>
          </cell>
          <cell r="F377">
            <v>14744.56</v>
          </cell>
        </row>
        <row r="378">
          <cell r="A378" t="str">
            <v>0007/2023</v>
          </cell>
          <cell r="F378">
            <v>543.42999999999995</v>
          </cell>
        </row>
        <row r="379">
          <cell r="A379" t="str">
            <v>0095/2023</v>
          </cell>
          <cell r="F379">
            <v>6470.93</v>
          </cell>
        </row>
        <row r="380">
          <cell r="A380" t="str">
            <v>0095/2023</v>
          </cell>
          <cell r="F380">
            <v>6494.57</v>
          </cell>
        </row>
        <row r="381">
          <cell r="A381" t="str">
            <v>0214/2022</v>
          </cell>
          <cell r="F381">
            <v>28266.75</v>
          </cell>
        </row>
        <row r="382">
          <cell r="A382" t="str">
            <v>0190/2022</v>
          </cell>
          <cell r="F382">
            <v>341.4</v>
          </cell>
        </row>
        <row r="383">
          <cell r="A383" t="str">
            <v>0092/2022</v>
          </cell>
          <cell r="F383">
            <v>2285.73</v>
          </cell>
        </row>
        <row r="384">
          <cell r="A384" t="str">
            <v>0026/2023</v>
          </cell>
          <cell r="F384">
            <v>4892.74</v>
          </cell>
        </row>
        <row r="385">
          <cell r="A385" t="str">
            <v>0026/2023</v>
          </cell>
          <cell r="F385">
            <v>5159.66</v>
          </cell>
        </row>
        <row r="386">
          <cell r="A386" t="str">
            <v>0026/2023</v>
          </cell>
          <cell r="F386">
            <v>5161.3500000000004</v>
          </cell>
        </row>
        <row r="387">
          <cell r="A387" t="str">
            <v>0015/2024</v>
          </cell>
          <cell r="F387">
            <v>2580.083333333333</v>
          </cell>
        </row>
        <row r="388">
          <cell r="A388" t="str">
            <v>0117/2023</v>
          </cell>
          <cell r="F388"/>
        </row>
        <row r="389">
          <cell r="A389" t="str">
            <v>0016/2023</v>
          </cell>
          <cell r="F389">
            <v>467394.8</v>
          </cell>
        </row>
        <row r="390">
          <cell r="A390" t="str">
            <v>0016/2023</v>
          </cell>
          <cell r="F390">
            <v>489976.05</v>
          </cell>
        </row>
        <row r="391">
          <cell r="A391" t="str">
            <v>0010/2022</v>
          </cell>
          <cell r="F391">
            <v>14776.34</v>
          </cell>
        </row>
        <row r="392">
          <cell r="A392" t="str">
            <v>0058/2023</v>
          </cell>
          <cell r="F392">
            <v>1682.770833333333</v>
          </cell>
        </row>
        <row r="393">
          <cell r="A393" t="str">
            <v>0058/2023</v>
          </cell>
          <cell r="F393">
            <v>1774.939166666667</v>
          </cell>
        </row>
        <row r="394">
          <cell r="A394" t="str">
            <v>0083/2023</v>
          </cell>
          <cell r="F394">
            <v>165750</v>
          </cell>
        </row>
        <row r="395">
          <cell r="A395" t="str">
            <v>0004/2024</v>
          </cell>
          <cell r="F395">
            <v>402124.9</v>
          </cell>
        </row>
        <row r="396">
          <cell r="A396" t="str">
            <v>0004/2024</v>
          </cell>
          <cell r="F396">
            <v>419165.34499999997</v>
          </cell>
        </row>
        <row r="397">
          <cell r="A397" t="str">
            <v>0076/2024</v>
          </cell>
          <cell r="F397">
            <v>61.154166666666669</v>
          </cell>
        </row>
        <row r="398">
          <cell r="A398" t="str">
            <v>0047/2021</v>
          </cell>
          <cell r="F398">
            <v>2500</v>
          </cell>
        </row>
        <row r="399">
          <cell r="A399" t="str">
            <v>0033/2023</v>
          </cell>
          <cell r="F399">
            <v>3693.125</v>
          </cell>
        </row>
        <row r="400">
          <cell r="A400" t="str">
            <v>0033/2023</v>
          </cell>
          <cell r="F400">
            <v>3871.5508333333328</v>
          </cell>
        </row>
        <row r="401">
          <cell r="A401" t="str">
            <v>0070/2023</v>
          </cell>
          <cell r="F401">
            <v>934.29416666666657</v>
          </cell>
        </row>
        <row r="402">
          <cell r="A402" t="str">
            <v>0039/2023</v>
          </cell>
          <cell r="F402">
            <v>806.72916666666663</v>
          </cell>
        </row>
        <row r="403">
          <cell r="A403" t="str">
            <v>0039/2023</v>
          </cell>
          <cell r="F403">
            <v>849.19083333333344</v>
          </cell>
        </row>
        <row r="404">
          <cell r="A404" t="str">
            <v>0221/2022</v>
          </cell>
          <cell r="F404">
            <v>4669.5978333333333</v>
          </cell>
        </row>
        <row r="405">
          <cell r="A405" t="str">
            <v>0221/2022</v>
          </cell>
          <cell r="F405">
            <v>5176.6549999999997</v>
          </cell>
        </row>
        <row r="406">
          <cell r="A406" t="str">
            <v>0171/2021</v>
          </cell>
          <cell r="F406">
            <v>3019.2559999999999</v>
          </cell>
        </row>
        <row r="407">
          <cell r="A407" t="str">
            <v>0248/2022</v>
          </cell>
          <cell r="F407">
            <v>6312.625</v>
          </cell>
        </row>
        <row r="408">
          <cell r="A408" t="str">
            <v>0128/2021</v>
          </cell>
          <cell r="F408">
            <v>9253.8703333333324</v>
          </cell>
        </row>
        <row r="409">
          <cell r="A409" t="str">
            <v>0129/2021</v>
          </cell>
          <cell r="F409">
            <v>29064.014999999999</v>
          </cell>
        </row>
        <row r="410">
          <cell r="A410" t="str">
            <v>0255/2022</v>
          </cell>
          <cell r="F410">
            <v>3888.25</v>
          </cell>
        </row>
        <row r="411">
          <cell r="A411" t="str">
            <v>0138/2021</v>
          </cell>
          <cell r="F411">
            <v>16900</v>
          </cell>
        </row>
        <row r="412">
          <cell r="A412" t="str">
            <v>0078/2024</v>
          </cell>
          <cell r="F412">
            <v>690</v>
          </cell>
        </row>
        <row r="413">
          <cell r="A413" t="str">
            <v>0059/2025</v>
          </cell>
          <cell r="F413">
            <v>3150</v>
          </cell>
        </row>
        <row r="414">
          <cell r="A414" t="str">
            <v>0103/2025</v>
          </cell>
          <cell r="F414">
            <v>52.181249999999999</v>
          </cell>
        </row>
        <row r="415">
          <cell r="A415" t="str">
            <v>0008/2025</v>
          </cell>
          <cell r="F415">
            <v>255.6</v>
          </cell>
        </row>
        <row r="416">
          <cell r="A416" t="str">
            <v>0104/2025</v>
          </cell>
          <cell r="F416">
            <v>125005.75999999999</v>
          </cell>
        </row>
        <row r="417">
          <cell r="A417" t="str">
            <v>0104/2025</v>
          </cell>
          <cell r="F417">
            <v>146903.7475</v>
          </cell>
        </row>
        <row r="418">
          <cell r="A418" t="str">
            <v>0095/2025</v>
          </cell>
          <cell r="F418">
            <v>730</v>
          </cell>
        </row>
        <row r="419">
          <cell r="A419" t="str">
            <v>0043/2023</v>
          </cell>
          <cell r="F419">
            <v>8542.52</v>
          </cell>
        </row>
        <row r="420">
          <cell r="A420" t="str">
            <v>0043/2023</v>
          </cell>
          <cell r="F420">
            <v>8646.18</v>
          </cell>
        </row>
        <row r="421">
          <cell r="A421" t="str">
            <v>0043/2023</v>
          </cell>
          <cell r="F421"/>
        </row>
        <row r="422">
          <cell r="A422" t="str">
            <v>0043/2023</v>
          </cell>
        </row>
        <row r="423">
          <cell r="A423" t="str">
            <v>0042/2023</v>
          </cell>
          <cell r="F423">
            <v>11113.55</v>
          </cell>
        </row>
        <row r="424">
          <cell r="A424" t="str">
            <v>0042/2023</v>
          </cell>
          <cell r="F424">
            <v>11131.22</v>
          </cell>
        </row>
        <row r="425">
          <cell r="A425" t="str">
            <v>0042/2023</v>
          </cell>
          <cell r="F425"/>
        </row>
        <row r="426">
          <cell r="A426" t="str">
            <v>0042/2023</v>
          </cell>
        </row>
        <row r="427">
          <cell r="A427" t="str">
            <v>171/2025</v>
          </cell>
          <cell r="F427">
            <v>1925</v>
          </cell>
        </row>
        <row r="428">
          <cell r="A428" t="str">
            <v>0115/2025</v>
          </cell>
          <cell r="F428">
            <v>44916.639999999999</v>
          </cell>
        </row>
        <row r="429">
          <cell r="A429" t="str">
            <v>5008/2025</v>
          </cell>
          <cell r="F429">
            <v>4000</v>
          </cell>
        </row>
        <row r="430">
          <cell r="A430" t="str">
            <v>5007/2025</v>
          </cell>
          <cell r="F430">
            <v>38236.088000000003</v>
          </cell>
        </row>
        <row r="431">
          <cell r="A431" t="str">
            <v>0131/2025</v>
          </cell>
          <cell r="F431">
            <v>1236.1300000000001</v>
          </cell>
        </row>
        <row r="432">
          <cell r="A432" t="str">
            <v>0131/2025</v>
          </cell>
          <cell r="F432">
            <v>4765.3325000000004</v>
          </cell>
        </row>
        <row r="433">
          <cell r="A433" t="str">
            <v>0146/2025</v>
          </cell>
          <cell r="F433">
            <v>10175</v>
          </cell>
        </row>
        <row r="434">
          <cell r="A434" t="str">
            <v>1000/2025</v>
          </cell>
          <cell r="F434">
            <v>5102.24</v>
          </cell>
        </row>
        <row r="435">
          <cell r="A435" t="str">
            <v xml:space="preserve">0107/2025 </v>
          </cell>
          <cell r="F435">
            <v>975</v>
          </cell>
        </row>
        <row r="436">
          <cell r="A436" t="str">
            <v>0122/2025</v>
          </cell>
          <cell r="F436">
            <v>6499.99</v>
          </cell>
        </row>
        <row r="437">
          <cell r="A437" t="str">
            <v>0158/2025</v>
          </cell>
          <cell r="F437">
            <v>5466.66</v>
          </cell>
        </row>
        <row r="438">
          <cell r="A438" t="str">
            <v>0114/2025</v>
          </cell>
          <cell r="F438">
            <v>11086.14</v>
          </cell>
        </row>
        <row r="439">
          <cell r="A439" t="str">
            <v>5002/2025</v>
          </cell>
          <cell r="F439">
            <v>1372.97</v>
          </cell>
        </row>
        <row r="440">
          <cell r="A440" t="str">
            <v>116/2025</v>
          </cell>
          <cell r="F440">
            <v>4375.6683333333331</v>
          </cell>
        </row>
        <row r="441">
          <cell r="A441" t="str">
            <v>0105/2025</v>
          </cell>
          <cell r="F441">
            <v>4652.9799999999996</v>
          </cell>
        </row>
        <row r="442">
          <cell r="A442" t="str">
            <v>0144/2025</v>
          </cell>
          <cell r="F442">
            <v>11687.5</v>
          </cell>
        </row>
        <row r="443">
          <cell r="A443" t="str">
            <v>0109/2025</v>
          </cell>
          <cell r="F443">
            <v>11413.68</v>
          </cell>
        </row>
        <row r="444">
          <cell r="A444" t="str">
            <v>0109/2025</v>
          </cell>
          <cell r="F444">
            <v>11427.06</v>
          </cell>
        </row>
        <row r="445">
          <cell r="A445" t="str">
            <v>0129/2025</v>
          </cell>
          <cell r="F445">
            <v>1380.5191666666669</v>
          </cell>
        </row>
        <row r="446">
          <cell r="A446" t="str">
            <v>0129/2025</v>
          </cell>
          <cell r="F446">
            <v>4560.8325000000004</v>
          </cell>
        </row>
        <row r="447">
          <cell r="A447" t="str">
            <v>0129/2025</v>
          </cell>
          <cell r="F447">
            <v>1167.5725</v>
          </cell>
        </row>
        <row r="448">
          <cell r="A448" t="str">
            <v>0129/2025</v>
          </cell>
          <cell r="F448">
            <v>5119.5066666666671</v>
          </cell>
        </row>
        <row r="449">
          <cell r="A449" t="str">
            <v>0129/2025</v>
          </cell>
          <cell r="F449">
            <v>1843.9124999999999</v>
          </cell>
        </row>
        <row r="450">
          <cell r="A450" t="str">
            <v>0129/2025</v>
          </cell>
          <cell r="F450">
            <v>1612.215833333333</v>
          </cell>
        </row>
        <row r="451">
          <cell r="A451" t="str">
            <v>0129/2025</v>
          </cell>
          <cell r="F451">
            <v>7005.4350000000004</v>
          </cell>
        </row>
        <row r="452">
          <cell r="A452" t="str">
            <v>0129/2025</v>
          </cell>
          <cell r="F452">
            <v>0</v>
          </cell>
        </row>
        <row r="453">
          <cell r="A453" t="str">
            <v>0133/2025</v>
          </cell>
          <cell r="F453">
            <v>5690</v>
          </cell>
        </row>
        <row r="454">
          <cell r="A454" t="str">
            <v>0110/2025</v>
          </cell>
          <cell r="F454">
            <v>11642.68</v>
          </cell>
        </row>
        <row r="455">
          <cell r="A455" t="str">
            <v>0110/2025</v>
          </cell>
          <cell r="F455">
            <v>11455.36</v>
          </cell>
        </row>
        <row r="456">
          <cell r="A456" t="str">
            <v>5005/2025</v>
          </cell>
          <cell r="F456">
            <v>1784.6</v>
          </cell>
        </row>
        <row r="457">
          <cell r="A457" t="str">
            <v>0160/2025</v>
          </cell>
          <cell r="F457">
            <v>14467.67</v>
          </cell>
        </row>
        <row r="458">
          <cell r="A458" t="str">
            <v>0143/2025</v>
          </cell>
          <cell r="F458">
            <v>6181.26</v>
          </cell>
        </row>
        <row r="459">
          <cell r="A459" t="str">
            <v>0143/2025</v>
          </cell>
          <cell r="F459">
            <v>12535.1</v>
          </cell>
        </row>
        <row r="460">
          <cell r="A460" t="str">
            <v>0157/2025</v>
          </cell>
          <cell r="F460">
            <v>9074.74</v>
          </cell>
        </row>
        <row r="461">
          <cell r="A461" t="str">
            <v>0142/2025</v>
          </cell>
          <cell r="F461">
            <v>12245.7</v>
          </cell>
        </row>
        <row r="462">
          <cell r="A462" t="str">
            <v>0141/2025</v>
          </cell>
          <cell r="F462">
            <v>24664.44</v>
          </cell>
        </row>
        <row r="463">
          <cell r="A463" t="str">
            <v>0156/2025</v>
          </cell>
          <cell r="F463">
            <v>14999.97</v>
          </cell>
        </row>
        <row r="464">
          <cell r="A464" t="str">
            <v>0151/2025</v>
          </cell>
          <cell r="F464">
            <v>9536.9599999999991</v>
          </cell>
        </row>
        <row r="465">
          <cell r="A465" t="str">
            <v>0120/2025</v>
          </cell>
          <cell r="F465">
            <v>18990.900000000001</v>
          </cell>
        </row>
        <row r="466">
          <cell r="A466" t="str">
            <v>0117/2025</v>
          </cell>
          <cell r="F466">
            <v>2064.75</v>
          </cell>
        </row>
        <row r="467">
          <cell r="A467" t="str">
            <v>0117/2025</v>
          </cell>
          <cell r="F467">
            <v>2770.833333333333</v>
          </cell>
        </row>
        <row r="468">
          <cell r="A468" t="str">
            <v>0117/2025</v>
          </cell>
          <cell r="F468">
            <v>8050.5</v>
          </cell>
        </row>
        <row r="469">
          <cell r="A469" t="str">
            <v>0135/2025</v>
          </cell>
          <cell r="F469">
            <v>66356.14</v>
          </cell>
        </row>
        <row r="470">
          <cell r="A470" t="str">
            <v>0124/2025</v>
          </cell>
          <cell r="F470">
            <v>13999.86</v>
          </cell>
        </row>
        <row r="471">
          <cell r="A471" t="str">
            <v>0123/2025</v>
          </cell>
          <cell r="F471">
            <v>13865.66</v>
          </cell>
        </row>
        <row r="472">
          <cell r="A472" t="str">
            <v>0126/2025</v>
          </cell>
          <cell r="F472">
            <v>13999.98</v>
          </cell>
        </row>
        <row r="473">
          <cell r="A473" t="str">
            <v>0113/2025</v>
          </cell>
          <cell r="F473">
            <v>5833.333333333333</v>
          </cell>
        </row>
        <row r="474">
          <cell r="A474" t="str">
            <v>0125/2025</v>
          </cell>
          <cell r="F474">
            <v>13590.3</v>
          </cell>
        </row>
        <row r="475">
          <cell r="A475" t="str">
            <v>0127/2025</v>
          </cell>
          <cell r="F475">
            <v>13999.72</v>
          </cell>
        </row>
        <row r="476">
          <cell r="A476" t="str">
            <v>0154/2025</v>
          </cell>
          <cell r="F476">
            <v>18281.12</v>
          </cell>
        </row>
        <row r="477">
          <cell r="A477" t="str">
            <v>1002/2025</v>
          </cell>
          <cell r="F477">
            <v>6204.01</v>
          </cell>
        </row>
        <row r="478">
          <cell r="A478" t="str">
            <v>7001/2025</v>
          </cell>
          <cell r="F478">
            <v>26148.78</v>
          </cell>
        </row>
        <row r="479">
          <cell r="A479" t="str">
            <v>0130/2025</v>
          </cell>
          <cell r="F479">
            <v>946.66</v>
          </cell>
        </row>
        <row r="480">
          <cell r="A480" t="str">
            <v>0106/2025</v>
          </cell>
          <cell r="F480">
            <v>8833.34</v>
          </cell>
        </row>
        <row r="481">
          <cell r="A481" t="str">
            <v>0106/2025</v>
          </cell>
          <cell r="F481">
            <v>8900</v>
          </cell>
        </row>
        <row r="482">
          <cell r="A482" t="str">
            <v>0106/2025</v>
          </cell>
          <cell r="F482">
            <v>8900</v>
          </cell>
        </row>
        <row r="483">
          <cell r="A483" t="str">
            <v>0106/2025</v>
          </cell>
          <cell r="F483">
            <v>8500</v>
          </cell>
        </row>
        <row r="484">
          <cell r="A484" t="str">
            <v>0106/2025</v>
          </cell>
          <cell r="F484">
            <v>10050</v>
          </cell>
        </row>
        <row r="485">
          <cell r="A485" t="str">
            <v>0106/2025</v>
          </cell>
          <cell r="F485">
            <v>10333.34</v>
          </cell>
        </row>
        <row r="486">
          <cell r="A486" t="str">
            <v>0106/2025</v>
          </cell>
          <cell r="F486">
            <v>10866.67</v>
          </cell>
        </row>
        <row r="487">
          <cell r="A487" t="str">
            <v>0106/2025</v>
          </cell>
          <cell r="F487">
            <v>10133.34</v>
          </cell>
        </row>
        <row r="488">
          <cell r="A488" t="str">
            <v>0118/2025</v>
          </cell>
          <cell r="F488">
            <v>7398.75</v>
          </cell>
        </row>
        <row r="489">
          <cell r="A489" t="str">
            <v>0118/2025</v>
          </cell>
          <cell r="F489">
            <v>1384.166666666667</v>
          </cell>
        </row>
        <row r="490">
          <cell r="A490" t="str">
            <v>0118/2025</v>
          </cell>
          <cell r="F490">
            <v>4009.166666666667</v>
          </cell>
        </row>
        <row r="491">
          <cell r="A491" t="str">
            <v>5006/2025</v>
          </cell>
          <cell r="F491">
            <v>693</v>
          </cell>
        </row>
        <row r="492">
          <cell r="A492" t="str">
            <v>5009/2025</v>
          </cell>
          <cell r="F492">
            <v>550364.37999999954</v>
          </cell>
        </row>
        <row r="493">
          <cell r="A493" t="str">
            <v>5009/2025</v>
          </cell>
          <cell r="F493">
            <v>550364.37999999954</v>
          </cell>
        </row>
        <row r="494">
          <cell r="A494" t="str">
            <v>0121/2025</v>
          </cell>
          <cell r="F494">
            <v>3049.166666666667</v>
          </cell>
        </row>
        <row r="495">
          <cell r="A495"/>
          <cell r="F495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2"/>
      <sheetName val="Planilha1"/>
    </sheetNames>
    <sheetDataSet>
      <sheetData sheetId="0">
        <row r="1">
          <cell r="G1" t="str">
            <v>CONTRATO</v>
          </cell>
          <cell r="K1" t="str">
            <v>VALOR ATUAL MENSAL</v>
          </cell>
          <cell r="O1" t="str">
            <v>VIGÊNCIA</v>
          </cell>
        </row>
        <row r="2">
          <cell r="G2" t="str">
            <v>0043/2023</v>
          </cell>
          <cell r="K2">
            <v>17188.689999999999</v>
          </cell>
          <cell r="O2">
            <v>45985</v>
          </cell>
        </row>
        <row r="3">
          <cell r="G3" t="str">
            <v>0042/2023</v>
          </cell>
          <cell r="K3">
            <v>22244.77</v>
          </cell>
          <cell r="O3">
            <v>46897</v>
          </cell>
        </row>
        <row r="4">
          <cell r="G4" t="str">
            <v>0227/2022</v>
          </cell>
          <cell r="K4">
            <v>113673.14</v>
          </cell>
          <cell r="O4">
            <v>46722</v>
          </cell>
        </row>
        <row r="5">
          <cell r="G5" t="str">
            <v>0018/2022</v>
          </cell>
          <cell r="K5">
            <v>396421.6</v>
          </cell>
          <cell r="O5">
            <v>46073</v>
          </cell>
        </row>
        <row r="6">
          <cell r="G6" t="str">
            <v>171/2025</v>
          </cell>
          <cell r="K6">
            <v>1925</v>
          </cell>
          <cell r="O6">
            <v>46308</v>
          </cell>
        </row>
        <row r="7">
          <cell r="G7" t="str">
            <v>0135/2022</v>
          </cell>
          <cell r="K7">
            <v>40360.620000000003</v>
          </cell>
          <cell r="O7">
            <v>46536</v>
          </cell>
        </row>
        <row r="8">
          <cell r="G8" t="str">
            <v>1004/2024</v>
          </cell>
          <cell r="K8">
            <v>12745.1</v>
          </cell>
          <cell r="O8">
            <v>46774</v>
          </cell>
        </row>
        <row r="9">
          <cell r="G9" t="str">
            <v>0212/2022</v>
          </cell>
          <cell r="K9">
            <v>43944.05</v>
          </cell>
          <cell r="O9">
            <v>46250</v>
          </cell>
        </row>
        <row r="10">
          <cell r="G10" t="str">
            <v>0004/2022</v>
          </cell>
          <cell r="K10">
            <v>9095.76</v>
          </cell>
          <cell r="O10">
            <v>46398</v>
          </cell>
        </row>
        <row r="11">
          <cell r="G11" t="str">
            <v>0115/2025</v>
          </cell>
          <cell r="K11">
            <v>44916.639999999999</v>
          </cell>
          <cell r="O11">
            <v>47664</v>
          </cell>
        </row>
        <row r="12">
          <cell r="G12" t="str">
            <v>5008/2025</v>
          </cell>
          <cell r="K12">
            <v>4000</v>
          </cell>
          <cell r="O12">
            <v>47737</v>
          </cell>
        </row>
        <row r="13">
          <cell r="G13" t="str">
            <v>5007/2025</v>
          </cell>
          <cell r="K13">
            <v>38236.088000000003</v>
          </cell>
          <cell r="O13">
            <v>47735</v>
          </cell>
        </row>
        <row r="14">
          <cell r="G14" t="str">
            <v>0146/2022</v>
          </cell>
          <cell r="K14">
            <v>19298.740000000002</v>
          </cell>
          <cell r="O14">
            <v>46536</v>
          </cell>
        </row>
        <row r="15">
          <cell r="G15" t="str">
            <v>0131/2025</v>
          </cell>
          <cell r="K15">
            <v>4961.6575000000003</v>
          </cell>
          <cell r="O15">
            <v>47701</v>
          </cell>
        </row>
        <row r="16">
          <cell r="G16" t="str">
            <v>0112/2022</v>
          </cell>
          <cell r="K16">
            <v>378.43</v>
          </cell>
          <cell r="O16">
            <v>46508</v>
          </cell>
        </row>
        <row r="17">
          <cell r="G17" t="str">
            <v>0009/2021</v>
          </cell>
          <cell r="K17">
            <v>9985.8700000000008</v>
          </cell>
          <cell r="O17" t="str">
            <v>INDETERMINADO</v>
          </cell>
        </row>
        <row r="18">
          <cell r="G18" t="str">
            <v>0037/2022</v>
          </cell>
          <cell r="K18">
            <v>10766.21</v>
          </cell>
          <cell r="O18">
            <v>46588</v>
          </cell>
        </row>
        <row r="19">
          <cell r="G19" t="str">
            <v>0146/2025</v>
          </cell>
          <cell r="K19">
            <v>10175</v>
          </cell>
          <cell r="O19">
            <v>47728</v>
          </cell>
        </row>
        <row r="20">
          <cell r="G20" t="str">
            <v>5005/2023</v>
          </cell>
          <cell r="K20">
            <v>56.237499999999997</v>
          </cell>
          <cell r="O20">
            <v>47097</v>
          </cell>
        </row>
        <row r="21">
          <cell r="G21" t="str">
            <v>5007/2023</v>
          </cell>
          <cell r="K21">
            <v>6139.15</v>
          </cell>
          <cell r="O21" t="str">
            <v>INDETERMINADO</v>
          </cell>
        </row>
        <row r="22">
          <cell r="G22" t="str">
            <v>0069/2024</v>
          </cell>
          <cell r="K22">
            <v>4841.3500000000004</v>
          </cell>
          <cell r="O22">
            <v>47392</v>
          </cell>
        </row>
        <row r="23">
          <cell r="G23" t="str">
            <v>0035/2024</v>
          </cell>
          <cell r="K23">
            <v>4700.83</v>
          </cell>
          <cell r="O23">
            <v>47301</v>
          </cell>
        </row>
        <row r="24">
          <cell r="G24" t="str">
            <v>0178/2022</v>
          </cell>
          <cell r="K24">
            <v>323.77999999999997</v>
          </cell>
          <cell r="O24">
            <v>46574</v>
          </cell>
        </row>
        <row r="25">
          <cell r="G25" t="str">
            <v>0030/2022</v>
          </cell>
          <cell r="K25">
            <v>15059.57</v>
          </cell>
          <cell r="O25">
            <v>46475</v>
          </cell>
        </row>
        <row r="26">
          <cell r="G26" t="str">
            <v>1000/2025</v>
          </cell>
          <cell r="K26">
            <v>5051.13</v>
          </cell>
          <cell r="O26">
            <v>47511</v>
          </cell>
        </row>
        <row r="27">
          <cell r="G27" t="str">
            <v>0083/2021</v>
          </cell>
          <cell r="K27">
            <v>10546.86</v>
          </cell>
          <cell r="O27">
            <v>46218</v>
          </cell>
        </row>
        <row r="28">
          <cell r="G28" t="str">
            <v>0183/2022</v>
          </cell>
          <cell r="K28">
            <v>383.01</v>
          </cell>
          <cell r="O28">
            <v>46578</v>
          </cell>
        </row>
        <row r="29">
          <cell r="G29" t="str">
            <v>0150/2022</v>
          </cell>
          <cell r="K29">
            <v>5942.4033333333</v>
          </cell>
          <cell r="O29">
            <v>46549</v>
          </cell>
        </row>
        <row r="30">
          <cell r="G30" t="str">
            <v>0207/2022</v>
          </cell>
          <cell r="K30">
            <v>4275.0200000000004</v>
          </cell>
          <cell r="O30">
            <v>46655</v>
          </cell>
        </row>
        <row r="31">
          <cell r="G31" t="str">
            <v>0027/2024</v>
          </cell>
          <cell r="K31">
            <v>1422.33</v>
          </cell>
          <cell r="O31">
            <v>47301</v>
          </cell>
        </row>
        <row r="32">
          <cell r="G32" t="str">
            <v>0017/2023</v>
          </cell>
          <cell r="K32">
            <v>2840.9866666666599</v>
          </cell>
          <cell r="O32">
            <v>46845</v>
          </cell>
        </row>
        <row r="33">
          <cell r="G33" t="str">
            <v>0072/2023</v>
          </cell>
          <cell r="K33">
            <v>6492.15</v>
          </cell>
          <cell r="O33">
            <v>46066</v>
          </cell>
        </row>
        <row r="34">
          <cell r="G34" t="str">
            <v>0101/2023</v>
          </cell>
          <cell r="K34">
            <v>27651.360000000001</v>
          </cell>
          <cell r="O34">
            <v>46173</v>
          </cell>
        </row>
        <row r="35">
          <cell r="G35" t="str">
            <v>0035/2022</v>
          </cell>
          <cell r="K35">
            <v>62763.58</v>
          </cell>
          <cell r="O35">
            <v>46494</v>
          </cell>
        </row>
        <row r="36">
          <cell r="G36" t="str">
            <v>0158/2022</v>
          </cell>
          <cell r="K36">
            <v>5885.19</v>
          </cell>
          <cell r="O36">
            <v>46550</v>
          </cell>
        </row>
        <row r="37">
          <cell r="G37" t="str">
            <v>0085/2025</v>
          </cell>
          <cell r="K37">
            <v>4392.75</v>
          </cell>
          <cell r="O37">
            <v>47545</v>
          </cell>
        </row>
        <row r="38">
          <cell r="G38" t="str">
            <v>0067/2022</v>
          </cell>
          <cell r="K38">
            <v>2638.17</v>
          </cell>
          <cell r="O38">
            <v>46470</v>
          </cell>
        </row>
        <row r="39">
          <cell r="G39" t="str">
            <v>0062/2022</v>
          </cell>
          <cell r="K39">
            <v>14084</v>
          </cell>
          <cell r="O39">
            <v>46470</v>
          </cell>
        </row>
        <row r="40">
          <cell r="G40" t="str">
            <v>0053/2025</v>
          </cell>
          <cell r="K40">
            <v>4499.33</v>
          </cell>
          <cell r="O40">
            <v>47553</v>
          </cell>
        </row>
        <row r="41">
          <cell r="G41" t="str">
            <v>0078/2025</v>
          </cell>
          <cell r="K41">
            <v>5066.9674999999997</v>
          </cell>
          <cell r="O41">
            <v>47581</v>
          </cell>
        </row>
        <row r="42">
          <cell r="G42" t="str">
            <v xml:space="preserve">0107/2025 </v>
          </cell>
          <cell r="K42">
            <v>975</v>
          </cell>
          <cell r="O42">
            <v>47664</v>
          </cell>
        </row>
        <row r="43">
          <cell r="G43" t="str">
            <v>0181/2022</v>
          </cell>
          <cell r="K43">
            <v>1958</v>
          </cell>
          <cell r="O43">
            <v>46570</v>
          </cell>
        </row>
        <row r="44">
          <cell r="G44" t="str">
            <v>0063/2022</v>
          </cell>
          <cell r="K44">
            <v>8900.39</v>
          </cell>
          <cell r="O44">
            <v>46470</v>
          </cell>
        </row>
        <row r="45">
          <cell r="G45" t="str">
            <v>0122/2025</v>
          </cell>
          <cell r="K45">
            <v>6499.99</v>
          </cell>
          <cell r="O45">
            <v>47699</v>
          </cell>
        </row>
        <row r="46">
          <cell r="G46" t="str">
            <v>0021/2024</v>
          </cell>
          <cell r="K46">
            <v>3046.9166</v>
          </cell>
          <cell r="O46">
            <v>47285</v>
          </cell>
        </row>
        <row r="47">
          <cell r="G47" t="str">
            <v>0086/2023</v>
          </cell>
          <cell r="K47">
            <v>9109.44</v>
          </cell>
          <cell r="O47">
            <v>46981</v>
          </cell>
        </row>
        <row r="48">
          <cell r="G48" t="str">
            <v>0122/2023</v>
          </cell>
          <cell r="K48">
            <v>334447.674</v>
          </cell>
          <cell r="O48">
            <v>46018</v>
          </cell>
        </row>
        <row r="49">
          <cell r="G49" t="str">
            <v>0034/2022</v>
          </cell>
          <cell r="K49">
            <v>1089.17</v>
          </cell>
          <cell r="O49">
            <v>46105</v>
          </cell>
        </row>
        <row r="50">
          <cell r="G50" t="str">
            <v>5004/2024</v>
          </cell>
          <cell r="K50">
            <v>198.11</v>
          </cell>
          <cell r="O50">
            <v>47369</v>
          </cell>
        </row>
        <row r="51">
          <cell r="G51" t="str">
            <v>6001/2025</v>
          </cell>
          <cell r="K51">
            <v>4999.78</v>
          </cell>
          <cell r="O51">
            <v>45938</v>
          </cell>
        </row>
        <row r="52">
          <cell r="G52" t="str">
            <v>0158/2025</v>
          </cell>
          <cell r="K52">
            <v>5466.66</v>
          </cell>
          <cell r="O52">
            <v>47764</v>
          </cell>
        </row>
        <row r="53">
          <cell r="G53" t="str">
            <v>0077/2025</v>
          </cell>
          <cell r="K53">
            <v>3845.67</v>
          </cell>
          <cell r="O53">
            <v>47581</v>
          </cell>
        </row>
        <row r="54">
          <cell r="G54" t="str">
            <v>0112/2025</v>
          </cell>
          <cell r="K54">
            <v>12666.66</v>
          </cell>
          <cell r="O54">
            <v>47648</v>
          </cell>
        </row>
        <row r="55">
          <cell r="G55" t="str">
            <v>0124/2022</v>
          </cell>
          <cell r="K55">
            <v>407.36</v>
          </cell>
          <cell r="O55">
            <v>46511</v>
          </cell>
        </row>
        <row r="56">
          <cell r="G56" t="str">
            <v>0027/2022</v>
          </cell>
          <cell r="K56">
            <v>20468.21</v>
          </cell>
          <cell r="O56">
            <v>46470</v>
          </cell>
        </row>
        <row r="57">
          <cell r="G57" t="str">
            <v>0056/2023</v>
          </cell>
          <cell r="K57">
            <v>10101.89</v>
          </cell>
          <cell r="O57">
            <v>46938</v>
          </cell>
        </row>
        <row r="58">
          <cell r="G58" t="str">
            <v>0020/2024</v>
          </cell>
          <cell r="K58">
            <v>5598.2616666666599</v>
          </cell>
          <cell r="O58">
            <v>47309</v>
          </cell>
        </row>
        <row r="59">
          <cell r="G59" t="str">
            <v>0092/2020</v>
          </cell>
          <cell r="K59">
            <v>4205</v>
          </cell>
          <cell r="O59">
            <v>46195</v>
          </cell>
        </row>
        <row r="60">
          <cell r="G60" t="str">
            <v>0119/2023</v>
          </cell>
          <cell r="K60">
            <v>2283.3330000000001</v>
          </cell>
          <cell r="O60">
            <v>46383</v>
          </cell>
        </row>
        <row r="61">
          <cell r="G61" t="str">
            <v>0114/2025</v>
          </cell>
          <cell r="K61">
            <v>11086.14</v>
          </cell>
          <cell r="O61">
            <v>47658</v>
          </cell>
        </row>
        <row r="62">
          <cell r="G62" t="str">
            <v>0114/2025</v>
          </cell>
          <cell r="K62">
            <v>11086.14</v>
          </cell>
          <cell r="O62">
            <v>47658</v>
          </cell>
        </row>
        <row r="63">
          <cell r="G63" t="str">
            <v>0068/2022</v>
          </cell>
          <cell r="K63">
            <v>3152.06</v>
          </cell>
          <cell r="O63">
            <v>46470</v>
          </cell>
        </row>
        <row r="64">
          <cell r="G64" t="str">
            <v>0077/2022</v>
          </cell>
          <cell r="K64">
            <v>6690.42</v>
          </cell>
          <cell r="O64">
            <v>46470</v>
          </cell>
        </row>
        <row r="65">
          <cell r="G65" t="str">
            <v>0253/2022</v>
          </cell>
          <cell r="K65">
            <v>10957.6</v>
          </cell>
          <cell r="O65">
            <v>46776</v>
          </cell>
        </row>
        <row r="66">
          <cell r="G66" t="str">
            <v>0023/2024</v>
          </cell>
          <cell r="K66">
            <v>2621.5</v>
          </cell>
          <cell r="O66">
            <v>47315</v>
          </cell>
        </row>
        <row r="67">
          <cell r="G67" t="str">
            <v>0114/2023</v>
          </cell>
          <cell r="K67">
            <v>500</v>
          </cell>
          <cell r="O67">
            <v>46361</v>
          </cell>
        </row>
        <row r="68">
          <cell r="G68" t="str">
            <v>0080/2024</v>
          </cell>
          <cell r="K68">
            <v>14653.96</v>
          </cell>
          <cell r="O68">
            <v>47427</v>
          </cell>
        </row>
        <row r="69">
          <cell r="G69" t="str">
            <v>5002/2025</v>
          </cell>
          <cell r="K69">
            <v>1372.97</v>
          </cell>
          <cell r="O69">
            <v>47629</v>
          </cell>
        </row>
        <row r="70">
          <cell r="G70" t="str">
            <v>0139/2022</v>
          </cell>
          <cell r="K70">
            <v>11157.73</v>
          </cell>
          <cell r="O70">
            <v>46535</v>
          </cell>
        </row>
        <row r="71">
          <cell r="G71" t="str">
            <v>0086/2025</v>
          </cell>
          <cell r="K71">
            <v>5166.66</v>
          </cell>
          <cell r="O71">
            <v>47544</v>
          </cell>
        </row>
        <row r="72">
          <cell r="G72" t="str">
            <v>116/2025</v>
          </cell>
          <cell r="K72">
            <v>4375.6683333333303</v>
          </cell>
          <cell r="O72">
            <v>47695</v>
          </cell>
        </row>
        <row r="73">
          <cell r="G73" t="str">
            <v>0152/2021</v>
          </cell>
          <cell r="K73">
            <v>27060.21</v>
          </cell>
          <cell r="O73">
            <v>46334</v>
          </cell>
        </row>
        <row r="74">
          <cell r="G74" t="str">
            <v>0064/2022</v>
          </cell>
          <cell r="K74">
            <v>8911.19</v>
          </cell>
          <cell r="O74">
            <v>46470</v>
          </cell>
        </row>
        <row r="75">
          <cell r="G75" t="str">
            <v>0105/2025</v>
          </cell>
          <cell r="K75">
            <v>4652.9799999999996</v>
          </cell>
          <cell r="O75">
            <v>47628</v>
          </cell>
        </row>
        <row r="76">
          <cell r="G76" t="str">
            <v>0125/2020</v>
          </cell>
          <cell r="K76">
            <v>12419.32</v>
          </cell>
          <cell r="O76">
            <v>46233</v>
          </cell>
        </row>
        <row r="77">
          <cell r="G77" t="str">
            <v>0144/2025</v>
          </cell>
          <cell r="K77">
            <v>11687.5</v>
          </cell>
          <cell r="O77">
            <v>47770</v>
          </cell>
        </row>
        <row r="78">
          <cell r="G78" t="str">
            <v>0066/2022</v>
          </cell>
          <cell r="K78">
            <v>260.95999999999998</v>
          </cell>
          <cell r="O78">
            <v>46470</v>
          </cell>
        </row>
        <row r="79">
          <cell r="G79" t="str">
            <v>0065/2022</v>
          </cell>
          <cell r="K79">
            <v>12600.35</v>
          </cell>
          <cell r="O79">
            <v>46470</v>
          </cell>
        </row>
        <row r="80">
          <cell r="G80" t="str">
            <v>0094/2025</v>
          </cell>
          <cell r="K80">
            <v>3966</v>
          </cell>
          <cell r="O80">
            <v>47587</v>
          </cell>
        </row>
        <row r="81">
          <cell r="G81" t="str">
            <v>0022/2024</v>
          </cell>
          <cell r="K81">
            <v>2121</v>
          </cell>
          <cell r="O81">
            <v>47336</v>
          </cell>
        </row>
        <row r="82">
          <cell r="G82" t="str">
            <v>0109/2025</v>
          </cell>
          <cell r="K82">
            <v>22840.74</v>
          </cell>
          <cell r="O82">
            <v>47664</v>
          </cell>
        </row>
        <row r="83">
          <cell r="G83" t="str">
            <v>0096/2025</v>
          </cell>
          <cell r="K83">
            <v>22880.080000000002</v>
          </cell>
          <cell r="O83">
            <v>47595</v>
          </cell>
        </row>
        <row r="84">
          <cell r="G84" t="str">
            <v>0243/2022</v>
          </cell>
          <cell r="K84">
            <v>68590.53</v>
          </cell>
          <cell r="O84">
            <v>46353</v>
          </cell>
        </row>
        <row r="85">
          <cell r="G85" t="str">
            <v>0129/2025</v>
          </cell>
          <cell r="K85">
            <v>16852.131666666599</v>
          </cell>
          <cell r="O85">
            <v>47695</v>
          </cell>
        </row>
        <row r="86">
          <cell r="G86" t="str">
            <v>0104/2022</v>
          </cell>
          <cell r="K86">
            <v>1037.83</v>
          </cell>
          <cell r="O86">
            <v>46482</v>
          </cell>
        </row>
        <row r="87">
          <cell r="G87" t="str">
            <v>5004/2025</v>
          </cell>
          <cell r="K87">
            <v>344.58</v>
          </cell>
          <cell r="O87">
            <v>47638</v>
          </cell>
        </row>
        <row r="88">
          <cell r="G88" t="str">
            <v>0069/2022</v>
          </cell>
          <cell r="K88">
            <v>11558.4</v>
          </cell>
          <cell r="O88">
            <v>46475</v>
          </cell>
        </row>
        <row r="89">
          <cell r="G89" t="str">
            <v>0073/2024</v>
          </cell>
          <cell r="K89">
            <v>4874.16</v>
          </cell>
          <cell r="O89">
            <v>47411</v>
          </cell>
        </row>
        <row r="90">
          <cell r="G90" t="str">
            <v>0081/2024</v>
          </cell>
          <cell r="K90">
            <v>67323.199999999997</v>
          </cell>
          <cell r="O90">
            <v>47463</v>
          </cell>
        </row>
        <row r="91">
          <cell r="G91" t="str">
            <v>0011/2024</v>
          </cell>
          <cell r="K91">
            <v>857.42</v>
          </cell>
          <cell r="O91">
            <v>47252</v>
          </cell>
        </row>
        <row r="92">
          <cell r="G92" t="str">
            <v>0033/2024</v>
          </cell>
          <cell r="K92">
            <v>3543.8125</v>
          </cell>
          <cell r="O92">
            <v>47330</v>
          </cell>
        </row>
        <row r="93">
          <cell r="G93" t="str">
            <v>0050/2023</v>
          </cell>
          <cell r="K93">
            <v>1700</v>
          </cell>
          <cell r="O93">
            <v>46185</v>
          </cell>
        </row>
        <row r="94">
          <cell r="G94" t="str">
            <v>0133/2025</v>
          </cell>
          <cell r="K94">
            <v>5690</v>
          </cell>
          <cell r="O94">
            <v>47727</v>
          </cell>
        </row>
        <row r="95">
          <cell r="G95" t="str">
            <v>0128/2022</v>
          </cell>
          <cell r="K95">
            <v>375.04</v>
          </cell>
          <cell r="O95">
            <v>46538</v>
          </cell>
        </row>
        <row r="96">
          <cell r="G96" t="str">
            <v>0118/2022</v>
          </cell>
          <cell r="K96">
            <v>4899.95</v>
          </cell>
          <cell r="O96">
            <v>46538</v>
          </cell>
        </row>
        <row r="97">
          <cell r="G97" t="str">
            <v>0008/2024</v>
          </cell>
          <cell r="K97">
            <v>5868.38</v>
          </cell>
          <cell r="O97">
            <v>46284</v>
          </cell>
        </row>
        <row r="98">
          <cell r="G98" t="str">
            <v>0110/2025</v>
          </cell>
          <cell r="K98">
            <v>23098.04</v>
          </cell>
          <cell r="O98">
            <v>47664</v>
          </cell>
        </row>
        <row r="99">
          <cell r="G99" t="str">
            <v>0160/2022</v>
          </cell>
          <cell r="K99">
            <v>286.89999999999998</v>
          </cell>
          <cell r="O99">
            <v>45936</v>
          </cell>
        </row>
        <row r="100">
          <cell r="G100" t="str">
            <v>5005/2025</v>
          </cell>
          <cell r="K100">
            <v>1784.6</v>
          </cell>
          <cell r="O100" t="str">
            <v>INDETERMINADO</v>
          </cell>
        </row>
        <row r="101">
          <cell r="G101" t="str">
            <v>0001/2025</v>
          </cell>
          <cell r="K101">
            <v>15320.36</v>
          </cell>
          <cell r="O101">
            <v>45938</v>
          </cell>
        </row>
        <row r="102">
          <cell r="G102" t="str">
            <v>0160/2025</v>
          </cell>
          <cell r="K102">
            <v>14467.67</v>
          </cell>
          <cell r="O102">
            <v>47764</v>
          </cell>
        </row>
        <row r="103">
          <cell r="G103" t="str">
            <v>0014/2025</v>
          </cell>
          <cell r="K103">
            <v>0</v>
          </cell>
          <cell r="O103" t="str">
            <v>INDETERMINADO</v>
          </cell>
        </row>
        <row r="104">
          <cell r="G104" t="str">
            <v>0159/2022</v>
          </cell>
          <cell r="K104">
            <v>901.49</v>
          </cell>
          <cell r="O104">
            <v>45936</v>
          </cell>
        </row>
        <row r="105">
          <cell r="G105" t="str">
            <v>0061/2022</v>
          </cell>
          <cell r="K105">
            <v>1515.36</v>
          </cell>
          <cell r="O105">
            <v>46508</v>
          </cell>
        </row>
        <row r="106">
          <cell r="G106" t="str">
            <v>0123/2022</v>
          </cell>
          <cell r="K106">
            <v>832.82</v>
          </cell>
          <cell r="O106">
            <v>46508</v>
          </cell>
        </row>
        <row r="107">
          <cell r="G107" t="str">
            <v>0034/2023</v>
          </cell>
          <cell r="K107">
            <v>3970.79</v>
          </cell>
          <cell r="O107">
            <v>46867</v>
          </cell>
        </row>
        <row r="108">
          <cell r="G108" t="str">
            <v>0032/2022</v>
          </cell>
          <cell r="K108">
            <v>4106.07</v>
          </cell>
          <cell r="O108">
            <v>46470</v>
          </cell>
        </row>
        <row r="109">
          <cell r="G109" t="str">
            <v>0071/2023</v>
          </cell>
          <cell r="K109">
            <v>3691.47</v>
          </cell>
          <cell r="O109">
            <v>46053</v>
          </cell>
        </row>
        <row r="110">
          <cell r="G110" t="str">
            <v>0130/2022</v>
          </cell>
          <cell r="K110">
            <v>25137.94</v>
          </cell>
          <cell r="O110">
            <v>46538</v>
          </cell>
        </row>
        <row r="111">
          <cell r="G111" t="str">
            <v>0071/2022</v>
          </cell>
          <cell r="K111">
            <v>408.73200000000003</v>
          </cell>
          <cell r="O111">
            <v>46475</v>
          </cell>
        </row>
        <row r="112">
          <cell r="G112" t="str">
            <v>0041/2023</v>
          </cell>
          <cell r="K112">
            <v>14266.21</v>
          </cell>
          <cell r="O112">
            <v>46895</v>
          </cell>
        </row>
        <row r="113">
          <cell r="G113" t="str">
            <v>0088/2024</v>
          </cell>
          <cell r="K113">
            <v>870</v>
          </cell>
          <cell r="O113">
            <v>47461</v>
          </cell>
        </row>
        <row r="114">
          <cell r="G114" t="str">
            <v>0143/2025</v>
          </cell>
          <cell r="K114">
            <v>18716.36</v>
          </cell>
          <cell r="O114">
            <v>47727</v>
          </cell>
        </row>
        <row r="115">
          <cell r="G115" t="str">
            <v>0032/2024</v>
          </cell>
          <cell r="K115">
            <v>3898.3330000000001</v>
          </cell>
          <cell r="O115">
            <v>47330</v>
          </cell>
        </row>
        <row r="116">
          <cell r="G116" t="str">
            <v>0060/2022</v>
          </cell>
          <cell r="K116">
            <v>1671.29</v>
          </cell>
          <cell r="O116">
            <v>46538</v>
          </cell>
        </row>
        <row r="117">
          <cell r="G117" t="str">
            <v>0098/2022</v>
          </cell>
          <cell r="K117">
            <v>11854.96</v>
          </cell>
          <cell r="O117">
            <v>46481</v>
          </cell>
        </row>
        <row r="118">
          <cell r="G118" t="str">
            <v>0012/2024</v>
          </cell>
          <cell r="K118">
            <v>10594.76</v>
          </cell>
          <cell r="O118">
            <v>46359</v>
          </cell>
        </row>
        <row r="119">
          <cell r="G119" t="str">
            <v>0097/2023</v>
          </cell>
          <cell r="K119">
            <v>574.33583333333297</v>
          </cell>
          <cell r="O119">
            <v>46296</v>
          </cell>
        </row>
        <row r="120">
          <cell r="G120" t="str">
            <v>0030/2024</v>
          </cell>
          <cell r="K120">
            <v>1300</v>
          </cell>
          <cell r="O120">
            <v>47278</v>
          </cell>
        </row>
        <row r="121">
          <cell r="G121" t="str">
            <v>0031/2022</v>
          </cell>
          <cell r="K121">
            <v>3721.59</v>
          </cell>
          <cell r="O121">
            <v>46538</v>
          </cell>
        </row>
        <row r="122">
          <cell r="G122" t="str">
            <v>0097/2022</v>
          </cell>
          <cell r="K122">
            <v>3796.5524999999998</v>
          </cell>
          <cell r="O122">
            <v>46476</v>
          </cell>
        </row>
        <row r="123">
          <cell r="G123" t="str">
            <v>0194/2020</v>
          </cell>
          <cell r="K123">
            <v>7833.92</v>
          </cell>
          <cell r="O123">
            <v>45944</v>
          </cell>
        </row>
        <row r="124">
          <cell r="G124" t="str">
            <v>0157/2025</v>
          </cell>
          <cell r="K124">
            <v>9074.74</v>
          </cell>
          <cell r="O124">
            <v>47770</v>
          </cell>
        </row>
        <row r="125">
          <cell r="G125" t="str">
            <v>0137/2022</v>
          </cell>
          <cell r="K125">
            <v>27147.64</v>
          </cell>
          <cell r="O125">
            <v>46538</v>
          </cell>
        </row>
        <row r="126">
          <cell r="G126" t="str">
            <v>0063/2024</v>
          </cell>
          <cell r="K126">
            <v>5293.55</v>
          </cell>
          <cell r="O126">
            <v>47370</v>
          </cell>
        </row>
        <row r="127">
          <cell r="G127" t="str">
            <v>0028/2024</v>
          </cell>
          <cell r="K127">
            <v>2061.9166</v>
          </cell>
          <cell r="O127">
            <v>47271</v>
          </cell>
        </row>
        <row r="128">
          <cell r="G128" t="str">
            <v>0142/2025</v>
          </cell>
          <cell r="K128">
            <v>12245.7</v>
          </cell>
          <cell r="O128">
            <v>47727</v>
          </cell>
        </row>
        <row r="129">
          <cell r="G129" t="str">
            <v>0141/2025</v>
          </cell>
          <cell r="K129">
            <v>24664.44</v>
          </cell>
          <cell r="O129">
            <v>47727</v>
          </cell>
        </row>
        <row r="130">
          <cell r="G130" t="str">
            <v>0231/2022</v>
          </cell>
          <cell r="K130">
            <v>206.87</v>
          </cell>
          <cell r="O130">
            <v>46657</v>
          </cell>
        </row>
        <row r="131">
          <cell r="G131" t="str">
            <v>0058/2022</v>
          </cell>
          <cell r="K131">
            <v>657.01</v>
          </cell>
          <cell r="O131">
            <v>46538</v>
          </cell>
        </row>
        <row r="132">
          <cell r="G132" t="str">
            <v>0239/2022</v>
          </cell>
          <cell r="K132">
            <v>1081.44</v>
          </cell>
          <cell r="O132">
            <v>46679</v>
          </cell>
        </row>
        <row r="133">
          <cell r="G133" t="str">
            <v>0111/2022</v>
          </cell>
          <cell r="K133">
            <v>1837.8</v>
          </cell>
          <cell r="O133">
            <v>46508</v>
          </cell>
        </row>
        <row r="134">
          <cell r="G134" t="str">
            <v>0078/2023</v>
          </cell>
          <cell r="K134">
            <v>4690.2</v>
          </cell>
          <cell r="O134">
            <v>46067</v>
          </cell>
        </row>
        <row r="135">
          <cell r="G135" t="str">
            <v>0029/2024</v>
          </cell>
          <cell r="K135">
            <v>2509.9166666666601</v>
          </cell>
          <cell r="O135">
            <v>47278</v>
          </cell>
        </row>
        <row r="136">
          <cell r="G136" t="str">
            <v>0120/2023</v>
          </cell>
          <cell r="K136">
            <v>235678.433333333</v>
          </cell>
          <cell r="O136">
            <v>46018</v>
          </cell>
        </row>
        <row r="137">
          <cell r="G137" t="str">
            <v>0129/2022</v>
          </cell>
          <cell r="K137">
            <v>621.55999999999995</v>
          </cell>
          <cell r="O137">
            <v>46538</v>
          </cell>
        </row>
        <row r="138">
          <cell r="G138" t="str">
            <v>0138/2022</v>
          </cell>
          <cell r="K138">
            <v>6444.53</v>
          </cell>
          <cell r="O138">
            <v>46538</v>
          </cell>
        </row>
        <row r="139">
          <cell r="G139" t="str">
            <v>0077/2024</v>
          </cell>
          <cell r="K139">
            <v>5586.33</v>
          </cell>
          <cell r="O139">
            <v>47426</v>
          </cell>
        </row>
        <row r="140">
          <cell r="G140" t="str">
            <v>0031/2024</v>
          </cell>
          <cell r="K140">
            <v>1702.9166</v>
          </cell>
          <cell r="O140">
            <v>47330</v>
          </cell>
        </row>
        <row r="141">
          <cell r="G141" t="str">
            <v>0059/2022</v>
          </cell>
          <cell r="K141">
            <v>6032.27</v>
          </cell>
          <cell r="O141">
            <v>46470</v>
          </cell>
        </row>
        <row r="142">
          <cell r="G142" t="str">
            <v>0067/2024</v>
          </cell>
          <cell r="K142">
            <v>29161.83</v>
          </cell>
          <cell r="O142" t="str">
            <v>INDETERMINADO</v>
          </cell>
        </row>
        <row r="143">
          <cell r="G143" t="str">
            <v>5001/2024</v>
          </cell>
          <cell r="K143">
            <v>12336.27</v>
          </cell>
          <cell r="O143">
            <v>47294</v>
          </cell>
        </row>
        <row r="144">
          <cell r="G144" t="str">
            <v>0062/2024</v>
          </cell>
          <cell r="K144">
            <v>12449.49</v>
          </cell>
          <cell r="O144">
            <v>47369</v>
          </cell>
        </row>
        <row r="145">
          <cell r="G145" t="str">
            <v>0105/2023</v>
          </cell>
          <cell r="K145">
            <v>23787.13</v>
          </cell>
          <cell r="O145">
            <v>46147</v>
          </cell>
        </row>
        <row r="146">
          <cell r="G146" t="str">
            <v>0220/2022</v>
          </cell>
          <cell r="K146">
            <v>1592.83</v>
          </cell>
          <cell r="O146">
            <v>46538</v>
          </cell>
        </row>
        <row r="147">
          <cell r="G147" t="str">
            <v>0136/2022</v>
          </cell>
          <cell r="K147">
            <v>24411.24</v>
          </cell>
          <cell r="O147">
            <v>46538</v>
          </cell>
        </row>
        <row r="148">
          <cell r="G148" t="str">
            <v>0131/2020</v>
          </cell>
          <cell r="K148">
            <v>18149.55</v>
          </cell>
          <cell r="O148">
            <v>45944</v>
          </cell>
        </row>
        <row r="149">
          <cell r="G149" t="str">
            <v>0156/2025</v>
          </cell>
          <cell r="K149">
            <v>14999.97</v>
          </cell>
          <cell r="O149">
            <v>47770</v>
          </cell>
        </row>
        <row r="150">
          <cell r="G150" t="str">
            <v>0066/2024</v>
          </cell>
          <cell r="K150">
            <v>533.16700000000003</v>
          </cell>
          <cell r="O150">
            <v>46266</v>
          </cell>
        </row>
        <row r="151">
          <cell r="G151" t="str">
            <v>0065/2023</v>
          </cell>
          <cell r="K151">
            <v>1470.69</v>
          </cell>
          <cell r="O151">
            <v>46208</v>
          </cell>
        </row>
        <row r="152">
          <cell r="G152" t="str">
            <v>0187/2022</v>
          </cell>
          <cell r="K152">
            <v>5978.97</v>
          </cell>
          <cell r="O152">
            <v>46597</v>
          </cell>
        </row>
        <row r="153">
          <cell r="G153" t="str">
            <v>0070/2022</v>
          </cell>
          <cell r="K153">
            <v>17105.38</v>
          </cell>
          <cell r="O153">
            <v>46538</v>
          </cell>
        </row>
        <row r="154">
          <cell r="G154" t="str">
            <v>0151/2025</v>
          </cell>
          <cell r="K154">
            <v>9536.9599999999991</v>
          </cell>
          <cell r="O154">
            <v>47726</v>
          </cell>
        </row>
        <row r="155">
          <cell r="G155" t="str">
            <v>0120/2025</v>
          </cell>
          <cell r="K155">
            <v>18990.900000000001</v>
          </cell>
          <cell r="O155">
            <v>47695</v>
          </cell>
        </row>
        <row r="156">
          <cell r="G156" t="str">
            <v>0097/2025</v>
          </cell>
          <cell r="K156">
            <v>6897.5</v>
          </cell>
          <cell r="O156">
            <v>47595</v>
          </cell>
        </row>
        <row r="157">
          <cell r="G157" t="str">
            <v>0005/2024</v>
          </cell>
          <cell r="K157">
            <v>6032.21</v>
          </cell>
          <cell r="O157">
            <v>46261</v>
          </cell>
        </row>
        <row r="158">
          <cell r="G158" t="str">
            <v>0095/2022</v>
          </cell>
          <cell r="K158">
            <v>355.15</v>
          </cell>
          <cell r="O158">
            <v>46538</v>
          </cell>
        </row>
        <row r="159">
          <cell r="G159" t="str">
            <v>0258/2022</v>
          </cell>
          <cell r="K159">
            <v>2863.41</v>
          </cell>
          <cell r="O159">
            <v>46725</v>
          </cell>
        </row>
        <row r="160">
          <cell r="G160" t="str">
            <v>0040/2024</v>
          </cell>
          <cell r="K160">
            <v>2160.6799999999998</v>
          </cell>
          <cell r="O160">
            <v>47285</v>
          </cell>
        </row>
        <row r="161">
          <cell r="G161" t="str">
            <v>0116/2022</v>
          </cell>
          <cell r="K161">
            <v>1970.28</v>
          </cell>
          <cell r="O161">
            <v>46538</v>
          </cell>
        </row>
        <row r="162">
          <cell r="G162" t="str">
            <v>0134/2022</v>
          </cell>
          <cell r="K162">
            <v>3489.65</v>
          </cell>
          <cell r="O162">
            <v>46533</v>
          </cell>
        </row>
        <row r="163">
          <cell r="G163" t="str">
            <v>0038/2021</v>
          </cell>
          <cell r="K163">
            <v>5139.0200000000004</v>
          </cell>
          <cell r="O163">
            <v>46145</v>
          </cell>
        </row>
        <row r="164">
          <cell r="G164" t="str">
            <v>0007/2025</v>
          </cell>
          <cell r="K164">
            <v>4517.3975</v>
          </cell>
          <cell r="O164">
            <v>47533</v>
          </cell>
        </row>
        <row r="165">
          <cell r="G165" t="str">
            <v>0022/2022</v>
          </cell>
          <cell r="K165">
            <v>1700</v>
          </cell>
          <cell r="O165">
            <v>46112</v>
          </cell>
        </row>
        <row r="166">
          <cell r="G166" t="str">
            <v>0103/2021</v>
          </cell>
          <cell r="K166">
            <v>11423.18</v>
          </cell>
          <cell r="O166">
            <v>46264</v>
          </cell>
        </row>
        <row r="167">
          <cell r="G167" t="str">
            <v>0081/2023</v>
          </cell>
          <cell r="K167">
            <v>19339.189999999999</v>
          </cell>
          <cell r="O167">
            <v>46241</v>
          </cell>
        </row>
        <row r="168">
          <cell r="G168" t="str">
            <v>0186/2022</v>
          </cell>
          <cell r="K168">
            <v>369.73</v>
          </cell>
          <cell r="O168">
            <v>46657</v>
          </cell>
        </row>
        <row r="169">
          <cell r="G169" t="str">
            <v>0149/2022</v>
          </cell>
          <cell r="K169">
            <v>2671.03</v>
          </cell>
          <cell r="O169">
            <v>46538</v>
          </cell>
        </row>
        <row r="170">
          <cell r="G170" t="str">
            <v>0203/2022</v>
          </cell>
          <cell r="K170">
            <v>4083.53</v>
          </cell>
          <cell r="O170">
            <v>46295</v>
          </cell>
        </row>
        <row r="171">
          <cell r="G171" t="str">
            <v>0117/2025</v>
          </cell>
          <cell r="K171">
            <v>12886.084000000001</v>
          </cell>
          <cell r="O171">
            <v>47706</v>
          </cell>
        </row>
        <row r="172">
          <cell r="G172" t="str">
            <v>0135/2025</v>
          </cell>
          <cell r="K172">
            <v>66356.14</v>
          </cell>
          <cell r="O172">
            <v>47678</v>
          </cell>
        </row>
        <row r="173">
          <cell r="G173" t="str">
            <v>0263/2022</v>
          </cell>
          <cell r="K173">
            <v>45898.98</v>
          </cell>
          <cell r="O173">
            <v>46775</v>
          </cell>
        </row>
        <row r="174">
          <cell r="G174" t="str">
            <v>0085/2022</v>
          </cell>
          <cell r="K174">
            <v>303.02</v>
          </cell>
          <cell r="O174">
            <v>46537</v>
          </cell>
        </row>
        <row r="175">
          <cell r="G175" t="str">
            <v>0050/2024</v>
          </cell>
          <cell r="K175">
            <v>2276.37</v>
          </cell>
          <cell r="O175">
            <v>47313</v>
          </cell>
        </row>
        <row r="176">
          <cell r="G176" t="str">
            <v>0121/2022</v>
          </cell>
          <cell r="K176">
            <v>4037.38</v>
          </cell>
          <cell r="O176">
            <v>46537</v>
          </cell>
        </row>
        <row r="177">
          <cell r="G177" t="str">
            <v>0022/2023</v>
          </cell>
          <cell r="K177">
            <v>4766.7299999999996</v>
          </cell>
          <cell r="O177">
            <v>46862</v>
          </cell>
        </row>
        <row r="178">
          <cell r="G178" t="str">
            <v>0072/2022</v>
          </cell>
          <cell r="K178">
            <v>4322.76</v>
          </cell>
          <cell r="O178">
            <v>46477</v>
          </cell>
        </row>
        <row r="179">
          <cell r="G179" t="str">
            <v>0045/2023</v>
          </cell>
          <cell r="K179">
            <v>5197.1499999999996</v>
          </cell>
          <cell r="O179">
            <v>46897</v>
          </cell>
        </row>
        <row r="180">
          <cell r="G180" t="str">
            <v>0126/2022</v>
          </cell>
          <cell r="K180">
            <v>310.27999999999997</v>
          </cell>
          <cell r="O180">
            <v>46533</v>
          </cell>
        </row>
        <row r="181">
          <cell r="G181" t="str">
            <v>0076/2022</v>
          </cell>
          <cell r="K181">
            <v>6839.37</v>
          </cell>
          <cell r="O181">
            <v>46470</v>
          </cell>
        </row>
        <row r="182">
          <cell r="G182" t="str">
            <v>0002/2025</v>
          </cell>
          <cell r="K182">
            <v>4443.1000000000004</v>
          </cell>
          <cell r="O182">
            <v>47523</v>
          </cell>
        </row>
        <row r="183">
          <cell r="G183" t="str">
            <v>0124/2025</v>
          </cell>
          <cell r="K183">
            <v>13999.86</v>
          </cell>
          <cell r="O183">
            <v>47677</v>
          </cell>
        </row>
        <row r="184">
          <cell r="G184" t="str">
            <v>0086/2022</v>
          </cell>
          <cell r="K184">
            <v>5672.69</v>
          </cell>
          <cell r="O184">
            <v>46475</v>
          </cell>
        </row>
        <row r="185">
          <cell r="G185" t="str">
            <v>0004/2021</v>
          </cell>
          <cell r="K185">
            <v>4896.04</v>
          </cell>
          <cell r="O185">
            <v>46057</v>
          </cell>
        </row>
        <row r="186">
          <cell r="G186" t="str">
            <v>0034/2024</v>
          </cell>
          <cell r="K186">
            <v>492.36579999999998</v>
          </cell>
          <cell r="O186">
            <v>47306</v>
          </cell>
        </row>
        <row r="187">
          <cell r="G187" t="str">
            <v>0102/2022</v>
          </cell>
          <cell r="K187">
            <v>2602.31</v>
          </cell>
          <cell r="O187">
            <v>46511</v>
          </cell>
        </row>
        <row r="188">
          <cell r="G188" t="str">
            <v>0120/2022</v>
          </cell>
          <cell r="K188">
            <v>8439.35</v>
          </cell>
          <cell r="O188">
            <v>46511</v>
          </cell>
        </row>
        <row r="189">
          <cell r="G189" t="str">
            <v>0064/2024</v>
          </cell>
          <cell r="K189">
            <v>13460.64</v>
          </cell>
          <cell r="O189">
            <v>47384</v>
          </cell>
        </row>
        <row r="190">
          <cell r="G190" t="str">
            <v>0123/2025</v>
          </cell>
          <cell r="K190">
            <v>13865.66</v>
          </cell>
          <cell r="O190">
            <v>47677</v>
          </cell>
        </row>
        <row r="191">
          <cell r="G191" t="str">
            <v>0105/2022</v>
          </cell>
          <cell r="K191">
            <v>946.40499999999997</v>
          </cell>
          <cell r="O191">
            <v>46235</v>
          </cell>
        </row>
        <row r="192">
          <cell r="G192" t="str">
            <v>0115/2023</v>
          </cell>
          <cell r="K192">
            <v>257.60000000000002</v>
          </cell>
          <cell r="O192">
            <v>47085</v>
          </cell>
        </row>
        <row r="193">
          <cell r="G193" t="str">
            <v>0161/2022</v>
          </cell>
          <cell r="K193">
            <v>2068.5300000000002</v>
          </cell>
          <cell r="O193">
            <v>46578</v>
          </cell>
        </row>
        <row r="194">
          <cell r="G194" t="str">
            <v>0111/2023</v>
          </cell>
          <cell r="K194">
            <v>353.73</v>
          </cell>
          <cell r="O194">
            <v>47085</v>
          </cell>
        </row>
        <row r="195">
          <cell r="G195" t="str">
            <v>0071/2024</v>
          </cell>
          <cell r="K195">
            <v>9404.98</v>
          </cell>
          <cell r="O195">
            <v>47426</v>
          </cell>
        </row>
        <row r="196">
          <cell r="G196" t="str">
            <v>0039/2024</v>
          </cell>
          <cell r="K196">
            <v>2755.33</v>
          </cell>
          <cell r="O196">
            <v>47330</v>
          </cell>
        </row>
        <row r="197">
          <cell r="G197" t="str">
            <v>0104/2023</v>
          </cell>
          <cell r="K197">
            <v>1919.44</v>
          </cell>
          <cell r="O197">
            <v>46338</v>
          </cell>
        </row>
        <row r="198">
          <cell r="G198" t="str">
            <v>0087/2022</v>
          </cell>
          <cell r="K198">
            <v>624.13</v>
          </cell>
          <cell r="O198">
            <v>46481</v>
          </cell>
        </row>
        <row r="199">
          <cell r="G199" t="str">
            <v>0078/2022</v>
          </cell>
          <cell r="K199">
            <v>10806.17</v>
          </cell>
          <cell r="O199">
            <v>46475</v>
          </cell>
        </row>
        <row r="200">
          <cell r="G200" t="str">
            <v>0112/2023</v>
          </cell>
          <cell r="K200">
            <v>10131.01</v>
          </cell>
          <cell r="O200">
            <v>46194</v>
          </cell>
        </row>
        <row r="201">
          <cell r="G201" t="str">
            <v>0126/2025</v>
          </cell>
          <cell r="K201">
            <v>13999.98</v>
          </cell>
          <cell r="O201">
            <v>47677</v>
          </cell>
        </row>
        <row r="202">
          <cell r="G202" t="str">
            <v>0026/2024</v>
          </cell>
          <cell r="K202">
            <v>2866.92</v>
          </cell>
          <cell r="O202">
            <v>47300</v>
          </cell>
        </row>
        <row r="203">
          <cell r="G203" t="str">
            <v>0096/2023</v>
          </cell>
          <cell r="K203">
            <v>1541.35</v>
          </cell>
          <cell r="O203">
            <v>46300</v>
          </cell>
        </row>
        <row r="204">
          <cell r="G204" t="str">
            <v>0084/2022</v>
          </cell>
          <cell r="K204">
            <v>657.07</v>
          </cell>
          <cell r="O204">
            <v>46480</v>
          </cell>
        </row>
        <row r="205">
          <cell r="G205" t="str">
            <v>0039/2022</v>
          </cell>
          <cell r="K205">
            <v>5144.9383333333299</v>
          </cell>
          <cell r="O205">
            <v>46477</v>
          </cell>
        </row>
        <row r="206">
          <cell r="G206" t="str">
            <v>5001/2025</v>
          </cell>
          <cell r="K206">
            <v>1208.0291666666601</v>
          </cell>
          <cell r="O206" t="str">
            <v>INDETERMINADO</v>
          </cell>
        </row>
        <row r="207">
          <cell r="G207" t="str">
            <v>0028/2023</v>
          </cell>
          <cell r="K207">
            <v>5482.28</v>
          </cell>
          <cell r="O207">
            <v>46880</v>
          </cell>
        </row>
        <row r="208">
          <cell r="G208" t="str">
            <v>0113/2025</v>
          </cell>
          <cell r="K208">
            <v>5833.3333333333303</v>
          </cell>
          <cell r="O208">
            <v>46024</v>
          </cell>
        </row>
        <row r="209">
          <cell r="G209" t="str">
            <v>0051/2024</v>
          </cell>
          <cell r="K209">
            <v>2634.75</v>
          </cell>
          <cell r="O209">
            <v>47330</v>
          </cell>
        </row>
        <row r="210">
          <cell r="G210" t="str">
            <v>0088/2023</v>
          </cell>
          <cell r="K210">
            <v>900</v>
          </cell>
          <cell r="O210">
            <v>46265</v>
          </cell>
        </row>
        <row r="211">
          <cell r="G211" t="str">
            <v>0049/2022</v>
          </cell>
          <cell r="K211">
            <v>353.4</v>
          </cell>
          <cell r="O211">
            <v>46481</v>
          </cell>
        </row>
        <row r="212">
          <cell r="G212" t="str">
            <v>0125/2025</v>
          </cell>
          <cell r="K212">
            <v>13590.3</v>
          </cell>
          <cell r="O212">
            <v>47677</v>
          </cell>
        </row>
        <row r="213">
          <cell r="G213" t="str">
            <v>0088/2022</v>
          </cell>
          <cell r="K213">
            <v>3336.51</v>
          </cell>
          <cell r="O213">
            <v>46475</v>
          </cell>
        </row>
        <row r="214">
          <cell r="G214" t="str">
            <v>0055/2023</v>
          </cell>
          <cell r="K214">
            <v>4688.5</v>
          </cell>
          <cell r="O214">
            <v>46032</v>
          </cell>
        </row>
        <row r="215">
          <cell r="G215" t="str">
            <v>0037/2024</v>
          </cell>
          <cell r="K215">
            <v>3043.5</v>
          </cell>
          <cell r="O215">
            <v>47330</v>
          </cell>
        </row>
        <row r="216">
          <cell r="G216" t="str">
            <v>0113/2022</v>
          </cell>
          <cell r="K216">
            <v>625.36666666666599</v>
          </cell>
          <cell r="O216">
            <v>46495</v>
          </cell>
        </row>
        <row r="217">
          <cell r="G217" t="str">
            <v>0041/2022</v>
          </cell>
          <cell r="K217">
            <v>3724.67</v>
          </cell>
          <cell r="O217">
            <v>46481</v>
          </cell>
        </row>
        <row r="218">
          <cell r="G218" t="str">
            <v>0199/2022</v>
          </cell>
          <cell r="K218">
            <v>6947.92</v>
          </cell>
          <cell r="O218">
            <v>46628</v>
          </cell>
        </row>
        <row r="219">
          <cell r="G219" t="str">
            <v>0038/2024</v>
          </cell>
          <cell r="K219">
            <v>3013</v>
          </cell>
          <cell r="O219">
            <v>47330</v>
          </cell>
        </row>
        <row r="220">
          <cell r="G220" t="str">
            <v>S/N</v>
          </cell>
          <cell r="K220">
            <v>108316.88</v>
          </cell>
          <cell r="O220">
            <v>47163</v>
          </cell>
        </row>
        <row r="221">
          <cell r="G221" t="str">
            <v>0028/2022</v>
          </cell>
          <cell r="K221">
            <v>3211.06</v>
          </cell>
          <cell r="O221">
            <v>46476</v>
          </cell>
        </row>
        <row r="222">
          <cell r="G222" t="str">
            <v>0079/2024</v>
          </cell>
          <cell r="K222">
            <v>4937.1899999999996</v>
          </cell>
          <cell r="O222">
            <v>47435</v>
          </cell>
        </row>
        <row r="223">
          <cell r="G223" t="str">
            <v>0024/2024</v>
          </cell>
          <cell r="K223">
            <v>1567.5</v>
          </cell>
          <cell r="O223">
            <v>47295</v>
          </cell>
        </row>
        <row r="224">
          <cell r="G224" t="str">
            <v>0029/2022</v>
          </cell>
          <cell r="K224">
            <v>8784.5300000000007</v>
          </cell>
          <cell r="O224">
            <v>46477</v>
          </cell>
        </row>
        <row r="225">
          <cell r="G225" t="str">
            <v>0241/2022</v>
          </cell>
          <cell r="K225">
            <v>4928.82</v>
          </cell>
          <cell r="O225">
            <v>46733</v>
          </cell>
        </row>
        <row r="226">
          <cell r="G226" t="str">
            <v>0025/2024</v>
          </cell>
          <cell r="K226">
            <v>2445.38</v>
          </cell>
          <cell r="O226">
            <v>47295</v>
          </cell>
        </row>
        <row r="227">
          <cell r="G227" t="str">
            <v>0083/2022</v>
          </cell>
          <cell r="K227">
            <v>414.64</v>
          </cell>
          <cell r="O227">
            <v>46481</v>
          </cell>
        </row>
        <row r="228">
          <cell r="G228" t="str">
            <v>0082/2022</v>
          </cell>
          <cell r="K228">
            <v>8259.41</v>
          </cell>
          <cell r="O228">
            <v>46480</v>
          </cell>
        </row>
        <row r="229">
          <cell r="G229" t="str">
            <v>0024/2023</v>
          </cell>
          <cell r="K229">
            <v>4888.75</v>
          </cell>
          <cell r="O229">
            <v>46870</v>
          </cell>
        </row>
        <row r="230">
          <cell r="G230" t="str">
            <v>0127/2025</v>
          </cell>
          <cell r="K230">
            <v>13999.72</v>
          </cell>
          <cell r="O230">
            <v>47677</v>
          </cell>
        </row>
        <row r="231">
          <cell r="G231" t="str">
            <v>0109/2022</v>
          </cell>
          <cell r="K231">
            <v>239.7</v>
          </cell>
          <cell r="O231">
            <v>46537</v>
          </cell>
        </row>
        <row r="232">
          <cell r="G232" t="str">
            <v>0042/2022</v>
          </cell>
          <cell r="K232">
            <v>3504.84</v>
          </cell>
          <cell r="O232">
            <v>46477</v>
          </cell>
        </row>
        <row r="233">
          <cell r="G233" t="str">
            <v>0002/2024</v>
          </cell>
          <cell r="K233">
            <v>5505.76</v>
          </cell>
          <cell r="O233">
            <v>46265</v>
          </cell>
        </row>
        <row r="234">
          <cell r="G234" t="str">
            <v>0036/2024</v>
          </cell>
          <cell r="K234">
            <v>1894.3330000000001</v>
          </cell>
          <cell r="O234">
            <v>47296</v>
          </cell>
        </row>
        <row r="235">
          <cell r="G235" t="str">
            <v>0068/2024</v>
          </cell>
          <cell r="K235">
            <v>117379.05</v>
          </cell>
          <cell r="O235">
            <v>47378</v>
          </cell>
        </row>
        <row r="236">
          <cell r="G236" t="str">
            <v>0109/2020</v>
          </cell>
          <cell r="K236">
            <v>65450.02</v>
          </cell>
          <cell r="O236">
            <v>46237</v>
          </cell>
        </row>
        <row r="237">
          <cell r="G237" t="str">
            <v>0001/2023</v>
          </cell>
          <cell r="K237">
            <v>79626.600000000006</v>
          </cell>
          <cell r="O237">
            <v>46774</v>
          </cell>
        </row>
        <row r="238">
          <cell r="G238" t="str">
            <v>0036/2023</v>
          </cell>
          <cell r="K238">
            <v>149115.44</v>
          </cell>
          <cell r="O238">
            <v>46144</v>
          </cell>
        </row>
        <row r="239">
          <cell r="G239" t="str">
            <v>0121/2025</v>
          </cell>
          <cell r="K239">
            <v>3049.1666</v>
          </cell>
          <cell r="O239">
            <v>46206</v>
          </cell>
        </row>
        <row r="240">
          <cell r="G240" t="str">
            <v>5000/2025</v>
          </cell>
          <cell r="K240">
            <v>116.93</v>
          </cell>
          <cell r="O240" t="str">
            <v>INDETERMINADO</v>
          </cell>
        </row>
        <row r="241">
          <cell r="G241" t="str">
            <v>0091/2022</v>
          </cell>
          <cell r="K241">
            <v>4315.2183333333296</v>
          </cell>
          <cell r="O241">
            <v>46481</v>
          </cell>
        </row>
        <row r="242">
          <cell r="G242" t="str">
            <v>1013/2023</v>
          </cell>
          <cell r="K242">
            <v>6204.01</v>
          </cell>
          <cell r="O242">
            <v>45936</v>
          </cell>
        </row>
        <row r="243">
          <cell r="G243" t="str">
            <v>1002/2025</v>
          </cell>
          <cell r="K243">
            <v>6204.01</v>
          </cell>
          <cell r="O243">
            <v>46686</v>
          </cell>
        </row>
        <row r="244">
          <cell r="G244" t="str">
            <v>0001/2025</v>
          </cell>
          <cell r="K244">
            <v>19666.669999999998</v>
          </cell>
          <cell r="O244">
            <v>47514</v>
          </cell>
        </row>
        <row r="245">
          <cell r="G245" t="str">
            <v>0009/2023</v>
          </cell>
          <cell r="K245">
            <v>22224.74</v>
          </cell>
          <cell r="O245">
            <v>45936</v>
          </cell>
        </row>
        <row r="246">
          <cell r="G246" t="str">
            <v>0154/2025</v>
          </cell>
          <cell r="K246">
            <v>18281.12</v>
          </cell>
          <cell r="O246">
            <v>47762</v>
          </cell>
        </row>
        <row r="247">
          <cell r="G247" t="str">
            <v>0029/2023</v>
          </cell>
          <cell r="K247">
            <v>1241.54</v>
          </cell>
          <cell r="O247">
            <v>46146</v>
          </cell>
        </row>
        <row r="248">
          <cell r="G248" t="str">
            <v>0018/2024</v>
          </cell>
          <cell r="K248">
            <v>4606.66</v>
          </cell>
          <cell r="O248">
            <v>47278</v>
          </cell>
        </row>
        <row r="249">
          <cell r="G249" t="str">
            <v>0046/2022</v>
          </cell>
          <cell r="K249">
            <v>4602.7299999999996</v>
          </cell>
          <cell r="O249">
            <v>46471</v>
          </cell>
        </row>
        <row r="250">
          <cell r="G250" t="str">
            <v>0108/2022</v>
          </cell>
          <cell r="K250">
            <v>14410.42</v>
          </cell>
          <cell r="O250">
            <v>46511</v>
          </cell>
        </row>
        <row r="251">
          <cell r="G251" t="str">
            <v>0013/2024</v>
          </cell>
          <cell r="K251">
            <v>280</v>
          </cell>
          <cell r="O251">
            <v>46168</v>
          </cell>
        </row>
        <row r="252">
          <cell r="G252" t="str">
            <v>S/N</v>
          </cell>
          <cell r="K252">
            <v>20146</v>
          </cell>
          <cell r="O252">
            <v>47415</v>
          </cell>
        </row>
        <row r="253">
          <cell r="G253" t="str">
            <v>5000/2023</v>
          </cell>
          <cell r="K253">
            <v>307.35000000000002</v>
          </cell>
          <cell r="O253">
            <v>46754</v>
          </cell>
        </row>
        <row r="254">
          <cell r="G254" t="str">
            <v>5001/2023</v>
          </cell>
          <cell r="K254">
            <v>426.4</v>
          </cell>
          <cell r="O254">
            <v>46784</v>
          </cell>
        </row>
        <row r="255">
          <cell r="G255" t="str">
            <v>0251/2022</v>
          </cell>
          <cell r="K255">
            <v>5374.23</v>
          </cell>
          <cell r="O255">
            <v>46728</v>
          </cell>
        </row>
        <row r="256">
          <cell r="G256" t="str">
            <v>0014/2024</v>
          </cell>
          <cell r="K256">
            <v>2770.8330000000001</v>
          </cell>
          <cell r="O256">
            <v>47285</v>
          </cell>
        </row>
        <row r="257">
          <cell r="G257" t="str">
            <v>0102/2023</v>
          </cell>
          <cell r="K257">
            <v>1166.6500000000001</v>
          </cell>
          <cell r="O257">
            <v>46332</v>
          </cell>
        </row>
        <row r="258">
          <cell r="G258" t="str">
            <v>5006/2023</v>
          </cell>
          <cell r="K258">
            <v>1397.04</v>
          </cell>
          <cell r="O258">
            <v>47112</v>
          </cell>
        </row>
        <row r="259">
          <cell r="G259" t="str">
            <v>5002/2024</v>
          </cell>
          <cell r="K259">
            <v>78.7</v>
          </cell>
          <cell r="O259">
            <v>47276</v>
          </cell>
        </row>
        <row r="260">
          <cell r="G260" t="str">
            <v>0065/2024</v>
          </cell>
          <cell r="K260">
            <v>5139.54</v>
          </cell>
          <cell r="O260">
            <v>47391</v>
          </cell>
        </row>
        <row r="261">
          <cell r="G261" t="str">
            <v>0017/2024</v>
          </cell>
          <cell r="K261">
            <v>2083.5</v>
          </cell>
          <cell r="O261">
            <v>47309</v>
          </cell>
        </row>
        <row r="262">
          <cell r="G262" t="str">
            <v>0073/2022</v>
          </cell>
          <cell r="K262">
            <v>2508.9899999999998</v>
          </cell>
          <cell r="O262">
            <v>46475</v>
          </cell>
        </row>
        <row r="263">
          <cell r="G263" t="str">
            <v>0090/2022</v>
          </cell>
          <cell r="K263">
            <v>750.5</v>
          </cell>
          <cell r="O263">
            <v>46481</v>
          </cell>
        </row>
        <row r="264">
          <cell r="G264" t="str">
            <v>0019/2022</v>
          </cell>
          <cell r="K264">
            <v>6553.17</v>
          </cell>
          <cell r="O264">
            <v>46511</v>
          </cell>
        </row>
        <row r="265">
          <cell r="G265" t="str">
            <v>7001/2025</v>
          </cell>
          <cell r="K265">
            <v>26148.78</v>
          </cell>
          <cell r="O265">
            <v>47617</v>
          </cell>
        </row>
        <row r="266">
          <cell r="G266" t="str">
            <v>0042/2024</v>
          </cell>
          <cell r="K266">
            <v>2294.56</v>
          </cell>
          <cell r="O266">
            <v>47330</v>
          </cell>
        </row>
        <row r="267">
          <cell r="G267" t="str">
            <v>0044/2022</v>
          </cell>
          <cell r="K267">
            <v>12597.02</v>
          </cell>
          <cell r="O267">
            <v>46475</v>
          </cell>
        </row>
        <row r="268">
          <cell r="G268" t="str">
            <v>0075/2024</v>
          </cell>
          <cell r="K268">
            <v>4655.0600000000004</v>
          </cell>
          <cell r="O268">
            <v>47427</v>
          </cell>
        </row>
        <row r="269">
          <cell r="G269" t="str">
            <v>0019/2024</v>
          </cell>
          <cell r="K269">
            <v>1884.58</v>
          </cell>
          <cell r="O269">
            <v>47278</v>
          </cell>
        </row>
        <row r="270">
          <cell r="G270" t="str">
            <v>0155/2022</v>
          </cell>
          <cell r="K270">
            <v>3374.56</v>
          </cell>
          <cell r="O270">
            <v>46550</v>
          </cell>
        </row>
        <row r="271">
          <cell r="G271" t="str">
            <v>0048/2022</v>
          </cell>
          <cell r="K271">
            <v>3928.84</v>
          </cell>
          <cell r="O271">
            <v>46470</v>
          </cell>
        </row>
        <row r="272">
          <cell r="G272" t="str">
            <v>0059/2024</v>
          </cell>
          <cell r="K272">
            <v>4889.9799999999996</v>
          </cell>
          <cell r="O272">
            <v>47363</v>
          </cell>
        </row>
        <row r="273">
          <cell r="G273" t="str">
            <v>0053/2024</v>
          </cell>
          <cell r="K273">
            <v>14819.78</v>
          </cell>
          <cell r="O273">
            <v>47330</v>
          </cell>
        </row>
        <row r="274">
          <cell r="G274" t="str">
            <v>0184/2022</v>
          </cell>
          <cell r="K274">
            <v>520.84</v>
          </cell>
          <cell r="O274">
            <v>46575</v>
          </cell>
        </row>
        <row r="275">
          <cell r="G275" t="str">
            <v>0047/2022</v>
          </cell>
          <cell r="K275">
            <v>3158.51</v>
          </cell>
          <cell r="O275">
            <v>46549</v>
          </cell>
        </row>
        <row r="276">
          <cell r="G276" t="str">
            <v>0115/2022</v>
          </cell>
          <cell r="K276">
            <v>4907.9799999999996</v>
          </cell>
          <cell r="O276">
            <v>46539</v>
          </cell>
        </row>
        <row r="277">
          <cell r="G277" t="str">
            <v>0090/2025</v>
          </cell>
          <cell r="K277">
            <v>1788</v>
          </cell>
          <cell r="O277">
            <v>47615</v>
          </cell>
        </row>
        <row r="278">
          <cell r="G278" t="str">
            <v>0164/2022</v>
          </cell>
          <cell r="K278">
            <v>5463.01</v>
          </cell>
          <cell r="O278">
            <v>46596</v>
          </cell>
        </row>
        <row r="279">
          <cell r="G279" t="str">
            <v>5003/2025</v>
          </cell>
          <cell r="K279">
            <v>2227.75</v>
          </cell>
          <cell r="O279" t="str">
            <v>INDETERMINADO</v>
          </cell>
        </row>
        <row r="280">
          <cell r="G280" t="str">
            <v>0156/2022</v>
          </cell>
          <cell r="K280">
            <v>4345</v>
          </cell>
          <cell r="O280">
            <v>46550</v>
          </cell>
        </row>
        <row r="281">
          <cell r="G281" t="str">
            <v>0075/2022</v>
          </cell>
          <cell r="K281">
            <v>13023.56</v>
          </cell>
          <cell r="O281">
            <v>46476</v>
          </cell>
        </row>
        <row r="282">
          <cell r="G282" t="str">
            <v>0070/2024</v>
          </cell>
          <cell r="K282">
            <v>4817.09</v>
          </cell>
          <cell r="O282">
            <v>47376</v>
          </cell>
        </row>
        <row r="283">
          <cell r="G283" t="str">
            <v>0089/2025</v>
          </cell>
          <cell r="K283">
            <v>4361.53</v>
          </cell>
          <cell r="O283">
            <v>47615</v>
          </cell>
        </row>
        <row r="284">
          <cell r="G284" t="str">
            <v>0130/2025</v>
          </cell>
          <cell r="K284">
            <v>946.67</v>
          </cell>
          <cell r="O284">
            <v>47666</v>
          </cell>
        </row>
        <row r="285">
          <cell r="G285" t="str">
            <v>0162/2022</v>
          </cell>
          <cell r="K285">
            <v>335.68</v>
          </cell>
          <cell r="O285">
            <v>46550</v>
          </cell>
        </row>
        <row r="286">
          <cell r="G286" t="str">
            <v>0043/2022</v>
          </cell>
          <cell r="K286">
            <v>4583.93</v>
          </cell>
          <cell r="O286">
            <v>46470</v>
          </cell>
        </row>
        <row r="287">
          <cell r="G287" t="str">
            <v>0087/2025</v>
          </cell>
          <cell r="K287">
            <v>5096.84</v>
          </cell>
          <cell r="O287">
            <v>47573</v>
          </cell>
        </row>
        <row r="288">
          <cell r="G288" t="str">
            <v>0041/2024</v>
          </cell>
          <cell r="K288">
            <v>2346.08</v>
          </cell>
          <cell r="O288">
            <v>47330</v>
          </cell>
        </row>
        <row r="289">
          <cell r="G289" t="str">
            <v>0153/2022</v>
          </cell>
          <cell r="K289">
            <v>199991.5</v>
          </cell>
          <cell r="O289">
            <v>46550</v>
          </cell>
        </row>
        <row r="290">
          <cell r="G290" t="str">
            <v>0055/2022</v>
          </cell>
          <cell r="K290">
            <v>354.6</v>
          </cell>
          <cell r="O290">
            <v>46470</v>
          </cell>
        </row>
        <row r="291">
          <cell r="G291" t="str">
            <v>0131/2022</v>
          </cell>
          <cell r="K291">
            <v>52933.15</v>
          </cell>
          <cell r="O291">
            <v>46535</v>
          </cell>
        </row>
        <row r="292">
          <cell r="G292" t="str">
            <v>0169/2021</v>
          </cell>
          <cell r="K292">
            <v>4759.9799999999996</v>
          </cell>
          <cell r="O292">
            <v>46372</v>
          </cell>
        </row>
        <row r="293">
          <cell r="G293" t="str">
            <v>0044/2024</v>
          </cell>
          <cell r="K293">
            <v>3037.5</v>
          </cell>
          <cell r="O293">
            <v>47330</v>
          </cell>
        </row>
        <row r="294">
          <cell r="G294" t="str">
            <v>0043/2024</v>
          </cell>
          <cell r="K294">
            <v>2156.6666666666601</v>
          </cell>
          <cell r="O294">
            <v>47308</v>
          </cell>
        </row>
        <row r="295">
          <cell r="G295" t="str">
            <v>5004/2023</v>
          </cell>
          <cell r="K295">
            <v>886.36</v>
          </cell>
          <cell r="O295">
            <v>47101</v>
          </cell>
        </row>
        <row r="296">
          <cell r="G296" t="str">
            <v>0111/2025</v>
          </cell>
          <cell r="K296">
            <v>5196.6499999999996</v>
          </cell>
          <cell r="O296">
            <v>47664</v>
          </cell>
        </row>
        <row r="297">
          <cell r="G297" t="str">
            <v>0107/2022</v>
          </cell>
          <cell r="K297">
            <v>336.41250000000002</v>
          </cell>
          <cell r="O297">
            <v>46508</v>
          </cell>
        </row>
        <row r="298">
          <cell r="G298" t="str">
            <v>0051/2022</v>
          </cell>
          <cell r="K298">
            <v>4428.99</v>
          </cell>
          <cell r="O298">
            <v>46473</v>
          </cell>
        </row>
        <row r="299">
          <cell r="G299" t="str">
            <v>0024/2022</v>
          </cell>
          <cell r="K299">
            <v>6865.24</v>
          </cell>
          <cell r="O299">
            <v>46496</v>
          </cell>
        </row>
        <row r="300">
          <cell r="G300" t="str">
            <v>0092/2025</v>
          </cell>
          <cell r="K300">
            <v>1892.5</v>
          </cell>
          <cell r="O300">
            <v>47615</v>
          </cell>
        </row>
        <row r="301">
          <cell r="G301" t="str">
            <v>0106/2025</v>
          </cell>
          <cell r="K301">
            <v>74944.14</v>
          </cell>
          <cell r="O301">
            <v>47649</v>
          </cell>
        </row>
        <row r="302">
          <cell r="G302" t="str">
            <v>0046/2023</v>
          </cell>
          <cell r="K302">
            <v>31696.38</v>
          </cell>
          <cell r="O302">
            <v>46895</v>
          </cell>
        </row>
        <row r="303">
          <cell r="G303" t="str">
            <v>0001/2024</v>
          </cell>
          <cell r="K303">
            <v>324204.25</v>
          </cell>
          <cell r="O303">
            <v>47450</v>
          </cell>
        </row>
        <row r="304">
          <cell r="G304" t="str">
            <v>0089/2022</v>
          </cell>
          <cell r="K304">
            <v>139.01</v>
          </cell>
          <cell r="O304">
            <v>46481</v>
          </cell>
        </row>
        <row r="305">
          <cell r="G305" t="str">
            <v>0163/2022</v>
          </cell>
          <cell r="K305">
            <v>36184.68</v>
          </cell>
          <cell r="O305">
            <v>46556</v>
          </cell>
        </row>
        <row r="306">
          <cell r="G306" t="str">
            <v>0054/2024</v>
          </cell>
          <cell r="K306">
            <v>4457.66</v>
          </cell>
          <cell r="O306">
            <v>47348</v>
          </cell>
        </row>
        <row r="307">
          <cell r="G307" t="str">
            <v>0093/2025</v>
          </cell>
          <cell r="K307">
            <v>1936.3330000000001</v>
          </cell>
          <cell r="O307">
            <v>47615</v>
          </cell>
        </row>
        <row r="308">
          <cell r="G308" t="str">
            <v>0119/2022</v>
          </cell>
          <cell r="K308">
            <v>244.09</v>
          </cell>
          <cell r="O308">
            <v>46511</v>
          </cell>
        </row>
        <row r="309">
          <cell r="G309" t="str">
            <v>0100/2022</v>
          </cell>
          <cell r="K309">
            <v>3423.01</v>
          </cell>
          <cell r="O309">
            <v>46508</v>
          </cell>
        </row>
        <row r="310">
          <cell r="G310" t="str">
            <v>0016/2024</v>
          </cell>
          <cell r="K310">
            <v>2583.33</v>
          </cell>
          <cell r="O310">
            <v>47278</v>
          </cell>
        </row>
        <row r="311">
          <cell r="G311" t="str">
            <v>0074/2024</v>
          </cell>
          <cell r="K311">
            <v>4437.68</v>
          </cell>
          <cell r="O311">
            <v>47427</v>
          </cell>
        </row>
        <row r="312">
          <cell r="G312" t="str">
            <v>0118/2025</v>
          </cell>
          <cell r="K312">
            <v>7398.75</v>
          </cell>
          <cell r="O312">
            <v>47726</v>
          </cell>
        </row>
        <row r="313">
          <cell r="G313" t="str">
            <v>0052/2022</v>
          </cell>
          <cell r="K313">
            <v>1109.17</v>
          </cell>
          <cell r="O313">
            <v>46473</v>
          </cell>
        </row>
        <row r="314">
          <cell r="G314" t="str">
            <v>0079/2022</v>
          </cell>
          <cell r="K314">
            <v>14744.56</v>
          </cell>
          <cell r="O314">
            <v>46481</v>
          </cell>
        </row>
        <row r="315">
          <cell r="G315" t="str">
            <v>0007/2023</v>
          </cell>
          <cell r="K315">
            <v>543.42999999999995</v>
          </cell>
          <cell r="O315">
            <v>46065</v>
          </cell>
        </row>
        <row r="316">
          <cell r="G316" t="str">
            <v>0095/2023</v>
          </cell>
          <cell r="K316">
            <v>5948.36</v>
          </cell>
          <cell r="O316">
            <v>46115</v>
          </cell>
        </row>
        <row r="317">
          <cell r="G317" t="str">
            <v>0214/2022</v>
          </cell>
          <cell r="K317">
            <v>28266.75</v>
          </cell>
          <cell r="O317">
            <v>46665</v>
          </cell>
        </row>
        <row r="318">
          <cell r="G318" t="str">
            <v>0190/2022</v>
          </cell>
          <cell r="K318">
            <v>341.4</v>
          </cell>
          <cell r="O318">
            <v>46601</v>
          </cell>
        </row>
        <row r="319">
          <cell r="G319" t="str">
            <v>0092/2022</v>
          </cell>
          <cell r="K319">
            <v>2285.73</v>
          </cell>
          <cell r="O319">
            <v>46481</v>
          </cell>
        </row>
        <row r="320">
          <cell r="G320" t="str">
            <v>0026/2023</v>
          </cell>
          <cell r="K320">
            <v>5161.3500000000004</v>
          </cell>
          <cell r="O320">
            <v>46868</v>
          </cell>
        </row>
        <row r="321">
          <cell r="G321" t="str">
            <v>0015/2024</v>
          </cell>
          <cell r="K321">
            <v>2580.0833333333298</v>
          </cell>
          <cell r="O321">
            <v>47278</v>
          </cell>
        </row>
        <row r="322">
          <cell r="G322" t="str">
            <v>0117/2023</v>
          </cell>
          <cell r="K322">
            <v>809271.82</v>
          </cell>
          <cell r="O322">
            <v>46356</v>
          </cell>
        </row>
        <row r="323">
          <cell r="G323" t="str">
            <v>0016/2023</v>
          </cell>
          <cell r="K323">
            <v>489976.054</v>
          </cell>
          <cell r="O323">
            <v>46076</v>
          </cell>
        </row>
        <row r="324">
          <cell r="G324" t="str">
            <v>0010/2022</v>
          </cell>
          <cell r="K324">
            <v>14776.34</v>
          </cell>
          <cell r="O324">
            <v>46413</v>
          </cell>
        </row>
        <row r="325">
          <cell r="G325" t="str">
            <v>0123/2023</v>
          </cell>
          <cell r="K325">
            <v>29947.5</v>
          </cell>
          <cell r="O325">
            <v>46384</v>
          </cell>
        </row>
        <row r="326">
          <cell r="G326" t="str">
            <v>0058/2023</v>
          </cell>
          <cell r="K326">
            <v>1682.7708333333301</v>
          </cell>
          <cell r="O326">
            <v>46139</v>
          </cell>
        </row>
        <row r="327">
          <cell r="G327" t="str">
            <v>0083/2023</v>
          </cell>
          <cell r="K327">
            <v>165750</v>
          </cell>
          <cell r="O327">
            <v>46367</v>
          </cell>
        </row>
        <row r="328">
          <cell r="G328" t="str">
            <v>0004/2024</v>
          </cell>
          <cell r="K328">
            <v>419165.34499999997</v>
          </cell>
          <cell r="O328">
            <v>46121</v>
          </cell>
        </row>
        <row r="329">
          <cell r="G329" t="str">
            <v>0076/2024</v>
          </cell>
          <cell r="K329">
            <v>61.154000000000003</v>
          </cell>
          <cell r="O329">
            <v>47406</v>
          </cell>
        </row>
        <row r="330">
          <cell r="G330" t="str">
            <v>0047/2021</v>
          </cell>
          <cell r="K330">
            <v>2500</v>
          </cell>
          <cell r="O330">
            <v>46165</v>
          </cell>
        </row>
        <row r="331">
          <cell r="G331" t="str">
            <v>0033/2023</v>
          </cell>
          <cell r="K331">
            <v>3871.55083333333</v>
          </cell>
          <cell r="O331">
            <v>46111</v>
          </cell>
        </row>
        <row r="332">
          <cell r="G332" t="str">
            <v>0271/2022</v>
          </cell>
          <cell r="K332">
            <v>383580</v>
          </cell>
          <cell r="O332">
            <v>46020</v>
          </cell>
        </row>
        <row r="333">
          <cell r="G333" t="str">
            <v>0070/2023</v>
          </cell>
          <cell r="K333">
            <v>934.294166666666</v>
          </cell>
          <cell r="O333">
            <v>46353</v>
          </cell>
        </row>
        <row r="334">
          <cell r="G334" t="str">
            <v>0039/2023</v>
          </cell>
          <cell r="K334">
            <v>849.19</v>
          </cell>
          <cell r="O334">
            <v>46179</v>
          </cell>
        </row>
        <row r="335">
          <cell r="G335" t="str">
            <v>0221/2022</v>
          </cell>
          <cell r="K335">
            <v>5176.6549999999997</v>
          </cell>
          <cell r="O335">
            <v>46628</v>
          </cell>
        </row>
        <row r="336">
          <cell r="G336" t="str">
            <v>0171/2021</v>
          </cell>
          <cell r="K336">
            <v>3019.2556666666601</v>
          </cell>
          <cell r="O336">
            <v>46356</v>
          </cell>
        </row>
        <row r="337">
          <cell r="G337" t="str">
            <v>0238/2022</v>
          </cell>
          <cell r="K337">
            <v>1941.25</v>
          </cell>
          <cell r="O337">
            <v>45940</v>
          </cell>
        </row>
        <row r="338">
          <cell r="G338" t="str">
            <v>0248/2022</v>
          </cell>
          <cell r="K338">
            <v>6312.625</v>
          </cell>
          <cell r="O338">
            <v>46385</v>
          </cell>
        </row>
        <row r="339">
          <cell r="G339" t="str">
            <v>0128/2021</v>
          </cell>
          <cell r="K339">
            <v>9253.8700000000008</v>
          </cell>
          <cell r="O339">
            <v>46284</v>
          </cell>
        </row>
        <row r="340">
          <cell r="G340" t="str">
            <v>0129/2021</v>
          </cell>
          <cell r="K340">
            <v>29064.014999999999</v>
          </cell>
          <cell r="O340">
            <v>46284</v>
          </cell>
        </row>
        <row r="341">
          <cell r="G341" t="str">
            <v>0045/2024</v>
          </cell>
          <cell r="K341">
            <v>953.04333333333295</v>
          </cell>
          <cell r="O341">
            <v>46192</v>
          </cell>
        </row>
        <row r="342">
          <cell r="G342" t="str">
            <v>0255/2022</v>
          </cell>
          <cell r="K342">
            <v>3888.25</v>
          </cell>
          <cell r="O342">
            <v>46385</v>
          </cell>
        </row>
        <row r="343">
          <cell r="G343" t="str">
            <v>0138/2021</v>
          </cell>
          <cell r="K343">
            <v>16900</v>
          </cell>
          <cell r="O343">
            <v>46281</v>
          </cell>
        </row>
        <row r="344">
          <cell r="G344" t="str">
            <v>0057/2024</v>
          </cell>
          <cell r="K344">
            <v>232.5</v>
          </cell>
          <cell r="O344">
            <v>47323</v>
          </cell>
        </row>
        <row r="345">
          <cell r="G345" t="str">
            <v>0089/2024</v>
          </cell>
          <cell r="K345">
            <v>104004.166666666</v>
          </cell>
          <cell r="O345">
            <v>46003</v>
          </cell>
        </row>
        <row r="346">
          <cell r="G346" t="str">
            <v>0084/2024</v>
          </cell>
          <cell r="K346">
            <v>0</v>
          </cell>
          <cell r="O346">
            <v>47457</v>
          </cell>
        </row>
        <row r="347">
          <cell r="G347" t="str">
            <v>0150/2025</v>
          </cell>
          <cell r="K347">
            <v>0</v>
          </cell>
          <cell r="O347">
            <v>47715</v>
          </cell>
        </row>
        <row r="348">
          <cell r="G348" t="str">
            <v>0078/2024</v>
          </cell>
          <cell r="K348">
            <v>690</v>
          </cell>
          <cell r="O348">
            <v>47426</v>
          </cell>
        </row>
        <row r="349">
          <cell r="G349" t="str">
            <v>0052/2024</v>
          </cell>
          <cell r="K349">
            <v>5316.67</v>
          </cell>
          <cell r="O349">
            <v>46214</v>
          </cell>
        </row>
        <row r="350">
          <cell r="G350" t="str">
            <v>0059/2025</v>
          </cell>
          <cell r="K350">
            <v>3150</v>
          </cell>
          <cell r="O350">
            <v>46056</v>
          </cell>
        </row>
        <row r="351">
          <cell r="G351" t="str">
            <v>0103/2025</v>
          </cell>
          <cell r="K351">
            <v>52.181249999999999</v>
          </cell>
          <cell r="O351">
            <v>46499</v>
          </cell>
        </row>
        <row r="352">
          <cell r="G352" t="str">
            <v>5006/2025</v>
          </cell>
          <cell r="K352">
            <v>693</v>
          </cell>
          <cell r="O352">
            <v>46212</v>
          </cell>
        </row>
        <row r="353">
          <cell r="G353" t="str">
            <v>0008/2025</v>
          </cell>
          <cell r="K353">
            <v>255.6</v>
          </cell>
          <cell r="O353">
            <v>46050</v>
          </cell>
        </row>
        <row r="354">
          <cell r="G354" t="str">
            <v>0104/2025</v>
          </cell>
          <cell r="K354">
            <v>146903.7475</v>
          </cell>
          <cell r="O354">
            <v>47602</v>
          </cell>
        </row>
        <row r="355">
          <cell r="G355" t="str">
            <v>0134/2025</v>
          </cell>
          <cell r="K355">
            <v>0</v>
          </cell>
          <cell r="O355">
            <v>47700</v>
          </cell>
        </row>
        <row r="356">
          <cell r="G356" t="str">
            <v>0137/2025</v>
          </cell>
          <cell r="K356">
            <v>0</v>
          </cell>
          <cell r="O356">
            <v>47722</v>
          </cell>
        </row>
        <row r="357">
          <cell r="G357" t="str">
            <v>150/2025</v>
          </cell>
          <cell r="K357">
            <v>0</v>
          </cell>
          <cell r="O357">
            <v>47716</v>
          </cell>
        </row>
        <row r="358">
          <cell r="G358" t="str">
            <v>0128/2025</v>
          </cell>
          <cell r="K358">
            <v>0</v>
          </cell>
          <cell r="O358">
            <v>47701</v>
          </cell>
        </row>
        <row r="359">
          <cell r="G359" t="str">
            <v>0145/2025</v>
          </cell>
          <cell r="K359">
            <v>0</v>
          </cell>
          <cell r="O359">
            <v>47726</v>
          </cell>
        </row>
        <row r="360">
          <cell r="G360" t="str">
            <v>0148/2025</v>
          </cell>
          <cell r="K360">
            <v>0</v>
          </cell>
          <cell r="O360">
            <v>47729</v>
          </cell>
        </row>
        <row r="361">
          <cell r="G361" t="str">
            <v>0159/2025</v>
          </cell>
          <cell r="K361">
            <v>0</v>
          </cell>
          <cell r="O361">
            <v>47742</v>
          </cell>
        </row>
        <row r="362">
          <cell r="G362" t="str">
            <v>0155/2025</v>
          </cell>
          <cell r="K362">
            <v>0</v>
          </cell>
          <cell r="O362">
            <v>47741</v>
          </cell>
        </row>
        <row r="363">
          <cell r="G363" t="str">
            <v>0147/2025</v>
          </cell>
          <cell r="K363">
            <v>0</v>
          </cell>
          <cell r="O363">
            <v>47754</v>
          </cell>
        </row>
        <row r="364">
          <cell r="G364" t="str">
            <v>0166/2025</v>
          </cell>
          <cell r="K364">
            <v>0</v>
          </cell>
          <cell r="O364">
            <v>47765</v>
          </cell>
        </row>
        <row r="365">
          <cell r="G365" t="str">
            <v>0136/2025</v>
          </cell>
          <cell r="K365">
            <v>0</v>
          </cell>
          <cell r="O365">
            <v>47685</v>
          </cell>
        </row>
        <row r="366">
          <cell r="G366" t="str">
            <v>0165/2025</v>
          </cell>
          <cell r="K366">
            <v>0</v>
          </cell>
          <cell r="O366">
            <v>47758</v>
          </cell>
        </row>
        <row r="367">
          <cell r="G367" t="str">
            <v>5009/2025</v>
          </cell>
          <cell r="K367">
            <v>45863.698333333297</v>
          </cell>
          <cell r="O367">
            <v>45982</v>
          </cell>
        </row>
        <row r="368">
          <cell r="G368" t="str">
            <v>0095/2025</v>
          </cell>
          <cell r="K368">
            <v>125005.75999999999</v>
          </cell>
          <cell r="O368">
            <v>46097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FBF5-B9BF-4386-B7C6-CC1B6CE01B06}">
  <dimension ref="A1:U414"/>
  <sheetViews>
    <sheetView tabSelected="1" topLeftCell="A21" zoomScale="70" zoomScaleNormal="70" workbookViewId="0">
      <selection activeCell="D30" sqref="D30"/>
    </sheetView>
  </sheetViews>
  <sheetFormatPr defaultColWidth="9.140625" defaultRowHeight="12"/>
  <cols>
    <col min="1" max="1" width="16.28515625" style="158" customWidth="1"/>
    <col min="2" max="2" width="14" style="158" customWidth="1"/>
    <col min="3" max="3" width="13.7109375" style="158" customWidth="1"/>
    <col min="4" max="4" width="26.85546875" style="158" customWidth="1"/>
    <col min="5" max="5" width="44.5703125" style="161" customWidth="1"/>
    <col min="6" max="6" width="23.85546875" style="158" customWidth="1"/>
    <col min="7" max="7" width="30.7109375" style="158" customWidth="1"/>
    <col min="8" max="8" width="15.85546875" style="158" customWidth="1"/>
    <col min="9" max="9" width="59.85546875" style="167" customWidth="1"/>
    <col min="10" max="10" width="25.28515625" style="158" customWidth="1"/>
    <col min="11" max="11" width="19.85546875" style="168" customWidth="1"/>
    <col min="12" max="13" width="19.7109375" style="169" customWidth="1"/>
    <col min="14" max="14" width="21.140625" style="158" customWidth="1"/>
    <col min="15" max="15" width="19.85546875" style="170" customWidth="1"/>
    <col min="16" max="16" width="9.140625" style="158"/>
    <col min="17" max="17" width="15" style="158" customWidth="1"/>
    <col min="18" max="18" width="11.140625" style="158" customWidth="1"/>
    <col min="19" max="19" width="13.28515625" style="158" customWidth="1"/>
    <col min="20" max="20" width="9.140625" style="182"/>
    <col min="21" max="21" width="26.85546875" style="158" customWidth="1"/>
    <col min="22" max="16384" width="9.140625" style="158"/>
  </cols>
  <sheetData>
    <row r="1" spans="1:21" ht="34.5" customHeight="1" thickBot="1">
      <c r="A1" s="1" t="s">
        <v>0</v>
      </c>
      <c r="B1" s="2" t="s">
        <v>1</v>
      </c>
      <c r="C1" s="5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10" t="s">
        <v>14</v>
      </c>
    </row>
    <row r="2" spans="1:21" ht="34.5" customHeight="1">
      <c r="A2" s="11" t="s">
        <v>15</v>
      </c>
      <c r="B2" s="12" t="s">
        <v>16</v>
      </c>
      <c r="C2" s="11" t="s">
        <v>17</v>
      </c>
      <c r="D2" s="13" t="s">
        <v>18</v>
      </c>
      <c r="E2" s="14" t="s">
        <v>19</v>
      </c>
      <c r="F2" s="11" t="s">
        <v>20</v>
      </c>
      <c r="G2" s="11" t="s">
        <v>21</v>
      </c>
      <c r="H2" s="13">
        <v>8</v>
      </c>
      <c r="I2" s="22" t="s">
        <v>22</v>
      </c>
      <c r="J2" s="23" t="s">
        <v>23</v>
      </c>
      <c r="K2" s="17">
        <f>16046.57+72222.75</f>
        <v>88269.32</v>
      </c>
      <c r="L2" s="17">
        <f>K2*12</f>
        <v>1059231.8400000001</v>
      </c>
      <c r="M2" s="17">
        <f t="shared" ref="M2:M5" si="0">K2*30</f>
        <v>2648079.6</v>
      </c>
      <c r="N2" s="24" t="s">
        <v>24</v>
      </c>
      <c r="O2" s="25">
        <v>46722</v>
      </c>
    </row>
    <row r="3" spans="1:21" ht="34.5" customHeight="1">
      <c r="A3" s="11" t="s">
        <v>15</v>
      </c>
      <c r="B3" s="12" t="s">
        <v>25</v>
      </c>
      <c r="C3" s="11" t="s">
        <v>17</v>
      </c>
      <c r="D3" s="13" t="s">
        <v>26</v>
      </c>
      <c r="E3" s="14" t="s">
        <v>19</v>
      </c>
      <c r="F3" s="11" t="s">
        <v>20</v>
      </c>
      <c r="G3" s="11" t="s">
        <v>21</v>
      </c>
      <c r="H3" s="13">
        <v>8</v>
      </c>
      <c r="I3" s="22" t="s">
        <v>22</v>
      </c>
      <c r="J3" s="23" t="s">
        <v>23</v>
      </c>
      <c r="K3" s="17">
        <v>10102.09</v>
      </c>
      <c r="L3" s="17">
        <f>K3*12</f>
        <v>121225.08</v>
      </c>
      <c r="M3" s="17">
        <f t="shared" si="0"/>
        <v>303062.7</v>
      </c>
      <c r="N3" s="24" t="s">
        <v>24</v>
      </c>
      <c r="O3" s="25">
        <v>46722</v>
      </c>
    </row>
    <row r="4" spans="1:21" ht="34.5" customHeight="1">
      <c r="A4" s="11" t="s">
        <v>15</v>
      </c>
      <c r="B4" s="12" t="s">
        <v>27</v>
      </c>
      <c r="C4" s="11" t="s">
        <v>17</v>
      </c>
      <c r="D4" s="13" t="s">
        <v>28</v>
      </c>
      <c r="E4" s="14" t="s">
        <v>19</v>
      </c>
      <c r="F4" s="11" t="s">
        <v>20</v>
      </c>
      <c r="G4" s="11" t="s">
        <v>21</v>
      </c>
      <c r="H4" s="13">
        <v>8</v>
      </c>
      <c r="I4" s="22" t="s">
        <v>22</v>
      </c>
      <c r="J4" s="23" t="s">
        <v>23</v>
      </c>
      <c r="K4" s="17">
        <v>12300.84</v>
      </c>
      <c r="L4" s="17">
        <f t="shared" ref="L4:L34" si="1">K4*12</f>
        <v>147610.08000000002</v>
      </c>
      <c r="M4" s="17">
        <f t="shared" si="0"/>
        <v>369025.2</v>
      </c>
      <c r="N4" s="24" t="s">
        <v>24</v>
      </c>
      <c r="O4" s="25">
        <v>46722</v>
      </c>
    </row>
    <row r="5" spans="1:21" ht="34.5" customHeight="1">
      <c r="A5" s="11" t="s">
        <v>15</v>
      </c>
      <c r="B5" s="12" t="s">
        <v>27</v>
      </c>
      <c r="C5" s="11" t="s">
        <v>17</v>
      </c>
      <c r="D5" s="13" t="s">
        <v>29</v>
      </c>
      <c r="E5" s="14" t="s">
        <v>19</v>
      </c>
      <c r="F5" s="11" t="s">
        <v>20</v>
      </c>
      <c r="G5" s="11" t="s">
        <v>21</v>
      </c>
      <c r="H5" s="13">
        <v>8</v>
      </c>
      <c r="I5" s="22" t="s">
        <v>22</v>
      </c>
      <c r="J5" s="23" t="s">
        <v>23</v>
      </c>
      <c r="K5" s="17">
        <v>12333.38</v>
      </c>
      <c r="L5" s="17">
        <f t="shared" si="1"/>
        <v>148000.56</v>
      </c>
      <c r="M5" s="17">
        <f t="shared" si="0"/>
        <v>370001.39999999997</v>
      </c>
      <c r="N5" s="24" t="s">
        <v>24</v>
      </c>
      <c r="O5" s="25">
        <v>46722</v>
      </c>
    </row>
    <row r="6" spans="1:21" s="159" customFormat="1" ht="34.5" customHeight="1">
      <c r="A6" s="11" t="s">
        <v>15</v>
      </c>
      <c r="B6" s="26" t="s">
        <v>16</v>
      </c>
      <c r="C6" s="171" t="s">
        <v>30</v>
      </c>
      <c r="D6" s="27" t="s">
        <v>18</v>
      </c>
      <c r="E6" s="28" t="s">
        <v>31</v>
      </c>
      <c r="F6" s="11" t="s">
        <v>32</v>
      </c>
      <c r="G6" s="11" t="s">
        <v>33</v>
      </c>
      <c r="H6" s="30">
        <v>24</v>
      </c>
      <c r="I6" s="29" t="s">
        <v>34</v>
      </c>
      <c r="J6" s="31" t="s">
        <v>35</v>
      </c>
      <c r="K6" s="17">
        <v>377702.01</v>
      </c>
      <c r="L6" s="32">
        <f t="shared" si="1"/>
        <v>4532424.12</v>
      </c>
      <c r="M6" s="33">
        <f>K6*12</f>
        <v>4532424.12</v>
      </c>
      <c r="N6" s="24" t="s">
        <v>36</v>
      </c>
      <c r="O6" s="34">
        <v>46073</v>
      </c>
      <c r="P6" s="158"/>
      <c r="Q6" s="158"/>
      <c r="R6" s="158"/>
      <c r="S6" s="158"/>
      <c r="T6" s="182"/>
      <c r="U6" s="158"/>
    </row>
    <row r="7" spans="1:21" s="159" customFormat="1" ht="34.5" customHeight="1">
      <c r="A7" s="11" t="s">
        <v>15</v>
      </c>
      <c r="B7" s="26" t="s">
        <v>16</v>
      </c>
      <c r="C7" s="171" t="s">
        <v>30</v>
      </c>
      <c r="D7" s="27" t="s">
        <v>18</v>
      </c>
      <c r="E7" s="28" t="s">
        <v>37</v>
      </c>
      <c r="F7" s="11" t="s">
        <v>32</v>
      </c>
      <c r="G7" s="11" t="s">
        <v>33</v>
      </c>
      <c r="H7" s="30">
        <v>24</v>
      </c>
      <c r="I7" s="29" t="s">
        <v>34</v>
      </c>
      <c r="J7" s="31" t="s">
        <v>35</v>
      </c>
      <c r="K7" s="17">
        <f>264000/12</f>
        <v>22000</v>
      </c>
      <c r="L7" s="32">
        <f t="shared" si="1"/>
        <v>264000</v>
      </c>
      <c r="M7" s="33">
        <f>K7*12</f>
        <v>264000</v>
      </c>
      <c r="N7" s="24" t="s">
        <v>36</v>
      </c>
      <c r="O7" s="34">
        <v>46073</v>
      </c>
      <c r="P7" s="158"/>
      <c r="Q7" s="158"/>
      <c r="R7" s="158"/>
      <c r="S7" s="158"/>
      <c r="T7" s="182"/>
      <c r="U7" s="158"/>
    </row>
    <row r="8" spans="1:21" s="159" customFormat="1" ht="34.5" customHeight="1">
      <c r="A8" s="11" t="s">
        <v>15</v>
      </c>
      <c r="B8" s="36" t="s">
        <v>16</v>
      </c>
      <c r="C8" s="173" t="s">
        <v>38</v>
      </c>
      <c r="D8" s="13" t="s">
        <v>18</v>
      </c>
      <c r="E8" s="14" t="s">
        <v>39</v>
      </c>
      <c r="F8" s="11" t="s">
        <v>40</v>
      </c>
      <c r="G8" s="11" t="s">
        <v>41</v>
      </c>
      <c r="H8" s="11">
        <v>0</v>
      </c>
      <c r="I8" s="11" t="s">
        <v>42</v>
      </c>
      <c r="J8" s="37" t="s">
        <v>43</v>
      </c>
      <c r="K8" s="17">
        <v>40360.620000000003</v>
      </c>
      <c r="L8" s="17">
        <f t="shared" si="1"/>
        <v>484327.44000000006</v>
      </c>
      <c r="M8" s="38">
        <f>K8*60</f>
        <v>2421637.2000000002</v>
      </c>
      <c r="N8" s="24" t="s">
        <v>44</v>
      </c>
      <c r="O8" s="39">
        <v>46536</v>
      </c>
      <c r="P8" s="158"/>
      <c r="Q8" s="158"/>
      <c r="R8" s="158"/>
      <c r="S8" s="158"/>
      <c r="T8" s="182"/>
      <c r="U8" s="158"/>
    </row>
    <row r="9" spans="1:21" s="160" customFormat="1" ht="34.5" customHeight="1">
      <c r="A9" s="35" t="s">
        <v>15</v>
      </c>
      <c r="B9" s="40" t="s">
        <v>16</v>
      </c>
      <c r="C9" s="172" t="s">
        <v>45</v>
      </c>
      <c r="D9" s="41" t="s">
        <v>18</v>
      </c>
      <c r="E9" s="42" t="s">
        <v>46</v>
      </c>
      <c r="F9" s="35" t="s">
        <v>47</v>
      </c>
      <c r="G9" s="35" t="s">
        <v>48</v>
      </c>
      <c r="H9" s="35">
        <v>2</v>
      </c>
      <c r="I9" s="35" t="s">
        <v>49</v>
      </c>
      <c r="J9" s="43" t="s">
        <v>50</v>
      </c>
      <c r="K9" s="44">
        <v>12745.1</v>
      </c>
      <c r="L9" s="44">
        <f t="shared" si="1"/>
        <v>152941.20000000001</v>
      </c>
      <c r="M9" s="17">
        <f>K9*30</f>
        <v>382353</v>
      </c>
      <c r="N9" s="24" t="s">
        <v>51</v>
      </c>
      <c r="O9" s="25">
        <v>46774</v>
      </c>
      <c r="P9" s="158"/>
      <c r="Q9" s="158"/>
      <c r="R9" s="158"/>
      <c r="S9" s="158"/>
      <c r="T9" s="182"/>
      <c r="U9" s="158"/>
    </row>
    <row r="10" spans="1:21" s="159" customFormat="1" ht="34.5" customHeight="1">
      <c r="A10" s="11" t="s">
        <v>15</v>
      </c>
      <c r="B10" s="26" t="s">
        <v>16</v>
      </c>
      <c r="C10" s="173" t="s">
        <v>52</v>
      </c>
      <c r="D10" s="27" t="s">
        <v>18</v>
      </c>
      <c r="E10" s="45" t="s">
        <v>53</v>
      </c>
      <c r="F10" s="11" t="s">
        <v>54</v>
      </c>
      <c r="G10" s="11" t="s">
        <v>55</v>
      </c>
      <c r="H10" s="13">
        <v>19</v>
      </c>
      <c r="I10" s="22" t="s">
        <v>56</v>
      </c>
      <c r="J10" s="46" t="s">
        <v>57</v>
      </c>
      <c r="K10" s="44">
        <v>43944.05</v>
      </c>
      <c r="L10" s="17">
        <f t="shared" si="1"/>
        <v>527328.60000000009</v>
      </c>
      <c r="M10" s="33">
        <f t="shared" ref="M10" si="2">K10*12</f>
        <v>527328.60000000009</v>
      </c>
      <c r="N10" s="24" t="s">
        <v>36</v>
      </c>
      <c r="O10" s="25">
        <v>46250</v>
      </c>
      <c r="P10" s="158"/>
      <c r="Q10" s="158"/>
      <c r="R10" s="158"/>
      <c r="S10" s="158"/>
      <c r="T10" s="182"/>
      <c r="U10" s="158"/>
    </row>
    <row r="11" spans="1:21" s="159" customFormat="1" ht="34.5" customHeight="1">
      <c r="A11" s="11" t="s">
        <v>15</v>
      </c>
      <c r="B11" s="36" t="s">
        <v>16</v>
      </c>
      <c r="C11" s="173" t="s">
        <v>58</v>
      </c>
      <c r="D11" s="13" t="s">
        <v>18</v>
      </c>
      <c r="E11" s="14" t="s">
        <v>59</v>
      </c>
      <c r="F11" s="11" t="s">
        <v>60</v>
      </c>
      <c r="G11" s="11" t="s">
        <v>61</v>
      </c>
      <c r="H11" s="11">
        <v>2</v>
      </c>
      <c r="I11" s="22" t="s">
        <v>62</v>
      </c>
      <c r="J11" s="23" t="s">
        <v>63</v>
      </c>
      <c r="K11" s="44">
        <v>9641.9500000000007</v>
      </c>
      <c r="L11" s="17">
        <f t="shared" si="1"/>
        <v>115703.40000000001</v>
      </c>
      <c r="M11" s="17">
        <f>K11*30</f>
        <v>289258.5</v>
      </c>
      <c r="N11" s="47" t="s">
        <v>51</v>
      </c>
      <c r="O11" s="39">
        <v>46398</v>
      </c>
      <c r="P11" s="158"/>
      <c r="Q11" s="158"/>
      <c r="R11" s="158"/>
      <c r="S11" s="158"/>
      <c r="T11" s="182"/>
      <c r="U11" s="158"/>
    </row>
    <row r="12" spans="1:21" s="159" customFormat="1" ht="34.5" customHeight="1">
      <c r="A12" s="11" t="s">
        <v>15</v>
      </c>
      <c r="B12" s="36" t="s">
        <v>16</v>
      </c>
      <c r="C12" s="173" t="s">
        <v>64</v>
      </c>
      <c r="D12" s="13" t="s">
        <v>18</v>
      </c>
      <c r="E12" s="14" t="s">
        <v>65</v>
      </c>
      <c r="F12" s="11" t="s">
        <v>66</v>
      </c>
      <c r="G12" s="11" t="s">
        <v>67</v>
      </c>
      <c r="H12" s="13">
        <v>1</v>
      </c>
      <c r="I12" s="11" t="s">
        <v>68</v>
      </c>
      <c r="J12" s="11" t="s">
        <v>69</v>
      </c>
      <c r="K12" s="17">
        <v>19298.740000000002</v>
      </c>
      <c r="L12" s="17">
        <f t="shared" si="1"/>
        <v>231584.88</v>
      </c>
      <c r="M12" s="17">
        <f>K12*30</f>
        <v>578962.20000000007</v>
      </c>
      <c r="N12" s="52" t="s">
        <v>51</v>
      </c>
      <c r="O12" s="25">
        <v>46536</v>
      </c>
      <c r="P12" s="158"/>
      <c r="Q12" s="158"/>
      <c r="R12" s="158"/>
      <c r="S12" s="158"/>
      <c r="T12" s="182"/>
      <c r="U12" s="158"/>
    </row>
    <row r="13" spans="1:21" s="159" customFormat="1" ht="34.5" customHeight="1">
      <c r="A13" s="11" t="s">
        <v>15</v>
      </c>
      <c r="B13" s="36" t="s">
        <v>27</v>
      </c>
      <c r="C13" s="173" t="s">
        <v>70</v>
      </c>
      <c r="D13" s="13" t="s">
        <v>28</v>
      </c>
      <c r="E13" s="14" t="s">
        <v>71</v>
      </c>
      <c r="F13" s="11" t="s">
        <v>72</v>
      </c>
      <c r="G13" s="11" t="s">
        <v>41</v>
      </c>
      <c r="H13" s="13">
        <v>0</v>
      </c>
      <c r="I13" s="11" t="s">
        <v>73</v>
      </c>
      <c r="J13" s="22" t="s">
        <v>74</v>
      </c>
      <c r="K13" s="53">
        <v>378.43</v>
      </c>
      <c r="L13" s="17">
        <f t="shared" si="1"/>
        <v>4541.16</v>
      </c>
      <c r="M13" s="17">
        <f>K13*60</f>
        <v>22705.8</v>
      </c>
      <c r="N13" s="24" t="s">
        <v>44</v>
      </c>
      <c r="O13" s="25">
        <v>46508</v>
      </c>
      <c r="P13" s="158"/>
      <c r="Q13" s="158"/>
      <c r="R13" s="158"/>
      <c r="S13" s="158"/>
      <c r="T13" s="182"/>
      <c r="U13" s="158"/>
    </row>
    <row r="14" spans="1:21" s="159" customFormat="1" ht="34.5" customHeight="1">
      <c r="A14" s="11" t="s">
        <v>15</v>
      </c>
      <c r="B14" s="36" t="s">
        <v>27</v>
      </c>
      <c r="C14" s="11" t="s">
        <v>75</v>
      </c>
      <c r="D14" s="13" t="s">
        <v>28</v>
      </c>
      <c r="E14" s="14" t="s">
        <v>76</v>
      </c>
      <c r="F14" s="11" t="s">
        <v>77</v>
      </c>
      <c r="G14" s="11"/>
      <c r="H14" s="13">
        <v>0</v>
      </c>
      <c r="I14" s="22" t="s">
        <v>78</v>
      </c>
      <c r="J14" s="23" t="s">
        <v>79</v>
      </c>
      <c r="K14" s="53">
        <v>9985.8700000000008</v>
      </c>
      <c r="L14" s="17">
        <f t="shared" si="1"/>
        <v>119830.44</v>
      </c>
      <c r="M14" s="17">
        <f>K14*12</f>
        <v>119830.44</v>
      </c>
      <c r="N14" s="24" t="s">
        <v>80</v>
      </c>
      <c r="O14" s="25" t="s">
        <v>80</v>
      </c>
      <c r="P14" s="158"/>
      <c r="Q14" s="158"/>
      <c r="R14" s="158"/>
      <c r="S14" s="158"/>
      <c r="T14" s="182"/>
      <c r="U14" s="158"/>
    </row>
    <row r="15" spans="1:21" s="159" customFormat="1" ht="34.5" customHeight="1">
      <c r="A15" s="11" t="s">
        <v>15</v>
      </c>
      <c r="B15" s="36" t="s">
        <v>27</v>
      </c>
      <c r="C15" s="173" t="s">
        <v>81</v>
      </c>
      <c r="D15" s="13" t="s">
        <v>28</v>
      </c>
      <c r="E15" s="14" t="s">
        <v>39</v>
      </c>
      <c r="F15" s="11" t="s">
        <v>82</v>
      </c>
      <c r="G15" s="11" t="s">
        <v>41</v>
      </c>
      <c r="H15" s="13">
        <v>0</v>
      </c>
      <c r="I15" s="11" t="s">
        <v>83</v>
      </c>
      <c r="J15" s="23" t="s">
        <v>84</v>
      </c>
      <c r="K15" s="53">
        <v>10766.21</v>
      </c>
      <c r="L15" s="17">
        <f t="shared" si="1"/>
        <v>129194.51999999999</v>
      </c>
      <c r="M15" s="17">
        <f>K15*60</f>
        <v>645972.6</v>
      </c>
      <c r="N15" s="24" t="s">
        <v>44</v>
      </c>
      <c r="O15" s="25">
        <v>46588</v>
      </c>
      <c r="P15" s="158"/>
      <c r="Q15" s="158"/>
      <c r="R15" s="158"/>
      <c r="S15" s="158"/>
      <c r="T15" s="182"/>
      <c r="U15" s="158"/>
    </row>
    <row r="16" spans="1:21" s="159" customFormat="1" ht="34.5" customHeight="1">
      <c r="A16" s="11" t="s">
        <v>15</v>
      </c>
      <c r="B16" s="36" t="s">
        <v>25</v>
      </c>
      <c r="C16" s="173" t="s">
        <v>85</v>
      </c>
      <c r="D16" s="13" t="s">
        <v>26</v>
      </c>
      <c r="E16" s="14" t="s">
        <v>86</v>
      </c>
      <c r="F16" s="11" t="s">
        <v>87</v>
      </c>
      <c r="G16" s="11" t="s">
        <v>41</v>
      </c>
      <c r="H16" s="27">
        <v>0</v>
      </c>
      <c r="I16" s="11" t="s">
        <v>88</v>
      </c>
      <c r="J16" s="46" t="s">
        <v>89</v>
      </c>
      <c r="K16" s="55">
        <v>56.237499999999997</v>
      </c>
      <c r="L16" s="17">
        <f t="shared" si="1"/>
        <v>674.84999999999991</v>
      </c>
      <c r="M16" s="17">
        <f>K16*60</f>
        <v>3374.25</v>
      </c>
      <c r="N16" s="24" t="s">
        <v>44</v>
      </c>
      <c r="O16" s="21">
        <v>47097</v>
      </c>
      <c r="P16" s="158"/>
      <c r="Q16" s="158"/>
      <c r="R16" s="158"/>
      <c r="S16" s="158"/>
      <c r="T16" s="182"/>
      <c r="U16" s="158"/>
    </row>
    <row r="17" spans="1:21" s="159" customFormat="1" ht="34.5" customHeight="1">
      <c r="A17" s="11" t="s">
        <v>15</v>
      </c>
      <c r="B17" s="36" t="s">
        <v>25</v>
      </c>
      <c r="C17" s="173" t="s">
        <v>90</v>
      </c>
      <c r="D17" s="13" t="s">
        <v>26</v>
      </c>
      <c r="E17" s="13" t="s">
        <v>39</v>
      </c>
      <c r="F17" s="11" t="s">
        <v>91</v>
      </c>
      <c r="G17" s="11" t="s">
        <v>41</v>
      </c>
      <c r="H17" s="27">
        <v>0</v>
      </c>
      <c r="I17" s="11" t="s">
        <v>92</v>
      </c>
      <c r="J17" s="46" t="s">
        <v>93</v>
      </c>
      <c r="K17" s="55">
        <v>6139.15</v>
      </c>
      <c r="L17" s="17">
        <f t="shared" si="1"/>
        <v>73669.799999999988</v>
      </c>
      <c r="M17" s="38"/>
      <c r="N17" s="56"/>
      <c r="O17" s="21" t="s">
        <v>80</v>
      </c>
      <c r="P17" s="158"/>
      <c r="Q17" s="158"/>
      <c r="R17" s="158"/>
      <c r="S17" s="158"/>
      <c r="T17" s="182"/>
      <c r="U17" s="158"/>
    </row>
    <row r="18" spans="1:21" s="159" customFormat="1" ht="34.5" customHeight="1">
      <c r="A18" s="35" t="s">
        <v>15</v>
      </c>
      <c r="B18" s="40" t="s">
        <v>25</v>
      </c>
      <c r="C18" s="172" t="s">
        <v>94</v>
      </c>
      <c r="D18" s="41" t="s">
        <v>26</v>
      </c>
      <c r="E18" s="48" t="s">
        <v>95</v>
      </c>
      <c r="F18" s="35" t="s">
        <v>96</v>
      </c>
      <c r="G18" s="11" t="s">
        <v>97</v>
      </c>
      <c r="H18" s="41">
        <v>1</v>
      </c>
      <c r="I18" s="35" t="s">
        <v>98</v>
      </c>
      <c r="J18" s="43" t="s">
        <v>99</v>
      </c>
      <c r="K18" s="57">
        <v>4841.3500000000004</v>
      </c>
      <c r="L18" s="44">
        <f t="shared" si="1"/>
        <v>58096.200000000004</v>
      </c>
      <c r="M18" s="17">
        <f t="shared" ref="M18:M21" si="3">K18*60</f>
        <v>290481</v>
      </c>
      <c r="N18" s="24" t="s">
        <v>44</v>
      </c>
      <c r="O18" s="21">
        <v>47392</v>
      </c>
      <c r="P18" s="158"/>
      <c r="Q18" s="158"/>
      <c r="R18" s="158"/>
      <c r="S18" s="158"/>
      <c r="T18" s="182"/>
      <c r="U18" s="158"/>
    </row>
    <row r="19" spans="1:21" s="159" customFormat="1" ht="34.5" customHeight="1">
      <c r="A19" s="11" t="s">
        <v>15</v>
      </c>
      <c r="B19" s="36" t="s">
        <v>25</v>
      </c>
      <c r="C19" s="173" t="s">
        <v>100</v>
      </c>
      <c r="D19" s="13" t="s">
        <v>26</v>
      </c>
      <c r="E19" s="45" t="s">
        <v>101</v>
      </c>
      <c r="F19" s="11" t="s">
        <v>102</v>
      </c>
      <c r="G19" s="11" t="s">
        <v>103</v>
      </c>
      <c r="H19" s="13">
        <v>0</v>
      </c>
      <c r="I19" s="11" t="s">
        <v>104</v>
      </c>
      <c r="J19" s="22" t="s">
        <v>105</v>
      </c>
      <c r="K19" s="17">
        <v>4700.833333333333</v>
      </c>
      <c r="L19" s="17">
        <f t="shared" si="1"/>
        <v>56410</v>
      </c>
      <c r="M19" s="17">
        <f t="shared" si="3"/>
        <v>282050</v>
      </c>
      <c r="N19" s="24" t="s">
        <v>44</v>
      </c>
      <c r="O19" s="39">
        <v>47301</v>
      </c>
      <c r="P19" s="158"/>
      <c r="Q19" s="158"/>
      <c r="R19" s="158"/>
      <c r="S19" s="158"/>
      <c r="T19" s="182"/>
      <c r="U19" s="158"/>
    </row>
    <row r="20" spans="1:21" s="159" customFormat="1" ht="34.5" customHeight="1">
      <c r="A20" s="11" t="s">
        <v>15</v>
      </c>
      <c r="B20" s="36" t="s">
        <v>27</v>
      </c>
      <c r="C20" s="173" t="s">
        <v>106</v>
      </c>
      <c r="D20" s="13" t="s">
        <v>29</v>
      </c>
      <c r="E20" s="14" t="s">
        <v>71</v>
      </c>
      <c r="F20" s="11" t="s">
        <v>107</v>
      </c>
      <c r="G20" s="11" t="s">
        <v>41</v>
      </c>
      <c r="H20" s="13">
        <v>0</v>
      </c>
      <c r="I20" s="22" t="s">
        <v>108</v>
      </c>
      <c r="J20" s="58" t="s">
        <v>109</v>
      </c>
      <c r="K20" s="17">
        <v>323.77999999999997</v>
      </c>
      <c r="L20" s="17">
        <f t="shared" si="1"/>
        <v>3885.3599999999997</v>
      </c>
      <c r="M20" s="17">
        <f t="shared" si="3"/>
        <v>19426.8</v>
      </c>
      <c r="N20" s="24" t="s">
        <v>44</v>
      </c>
      <c r="O20" s="25">
        <v>46574</v>
      </c>
      <c r="P20" s="158"/>
      <c r="Q20" s="158"/>
      <c r="R20" s="158"/>
      <c r="S20" s="158"/>
      <c r="T20" s="182"/>
      <c r="U20" s="158"/>
    </row>
    <row r="21" spans="1:21" s="159" customFormat="1" ht="34.5" customHeight="1">
      <c r="A21" s="11" t="s">
        <v>15</v>
      </c>
      <c r="B21" s="36" t="s">
        <v>27</v>
      </c>
      <c r="C21" s="11" t="s">
        <v>110</v>
      </c>
      <c r="D21" s="13" t="s">
        <v>29</v>
      </c>
      <c r="E21" s="14" t="s">
        <v>39</v>
      </c>
      <c r="F21" s="11" t="s">
        <v>111</v>
      </c>
      <c r="G21" s="11" t="s">
        <v>41</v>
      </c>
      <c r="H21" s="13">
        <v>0</v>
      </c>
      <c r="I21" s="22" t="s">
        <v>112</v>
      </c>
      <c r="J21" s="23" t="s">
        <v>84</v>
      </c>
      <c r="K21" s="17">
        <v>15059.57</v>
      </c>
      <c r="L21" s="17">
        <f t="shared" si="1"/>
        <v>180714.84</v>
      </c>
      <c r="M21" s="17">
        <f t="shared" si="3"/>
        <v>903574.2</v>
      </c>
      <c r="N21" s="24" t="s">
        <v>44</v>
      </c>
      <c r="O21" s="25">
        <v>46475</v>
      </c>
      <c r="P21" s="158"/>
      <c r="Q21" s="158"/>
      <c r="R21" s="158"/>
      <c r="S21" s="158"/>
      <c r="T21" s="182"/>
      <c r="U21" s="158"/>
    </row>
    <row r="22" spans="1:21" s="159" customFormat="1" ht="34.5" customHeight="1">
      <c r="A22" s="11" t="s">
        <v>15</v>
      </c>
      <c r="B22" s="36" t="s">
        <v>27</v>
      </c>
      <c r="C22" s="173" t="s">
        <v>113</v>
      </c>
      <c r="D22" s="13" t="s">
        <v>29</v>
      </c>
      <c r="E22" s="14" t="s">
        <v>114</v>
      </c>
      <c r="F22" s="11" t="s">
        <v>115</v>
      </c>
      <c r="G22" s="11" t="s">
        <v>116</v>
      </c>
      <c r="H22" s="13">
        <v>1</v>
      </c>
      <c r="I22" s="22" t="s">
        <v>117</v>
      </c>
      <c r="J22" s="23" t="s">
        <v>118</v>
      </c>
      <c r="K22" s="17">
        <v>10546.86</v>
      </c>
      <c r="L22" s="17">
        <f t="shared" si="1"/>
        <v>126562.32</v>
      </c>
      <c r="M22" s="33">
        <f>K22*12</f>
        <v>126562.32</v>
      </c>
      <c r="N22" s="47" t="s">
        <v>36</v>
      </c>
      <c r="O22" s="25">
        <v>46218</v>
      </c>
      <c r="P22" s="158"/>
      <c r="Q22" s="158"/>
      <c r="R22" s="158"/>
      <c r="S22" s="158"/>
      <c r="T22" s="182"/>
      <c r="U22" s="158"/>
    </row>
    <row r="23" spans="1:21" s="159" customFormat="1" ht="34.5" customHeight="1">
      <c r="A23" s="11" t="s">
        <v>15</v>
      </c>
      <c r="B23" s="36" t="s">
        <v>25</v>
      </c>
      <c r="C23" s="11" t="s">
        <v>119</v>
      </c>
      <c r="D23" s="13" t="s">
        <v>120</v>
      </c>
      <c r="E23" s="45" t="s">
        <v>71</v>
      </c>
      <c r="F23" s="11" t="s">
        <v>121</v>
      </c>
      <c r="G23" s="11" t="s">
        <v>41</v>
      </c>
      <c r="H23" s="13">
        <v>0</v>
      </c>
      <c r="I23" s="11" t="s">
        <v>122</v>
      </c>
      <c r="J23" s="46" t="s">
        <v>123</v>
      </c>
      <c r="K23" s="17">
        <v>383.01</v>
      </c>
      <c r="L23" s="17">
        <f t="shared" si="1"/>
        <v>4596.12</v>
      </c>
      <c r="M23" s="17">
        <f t="shared" ref="M23:M24" si="4">K23*60</f>
        <v>22980.6</v>
      </c>
      <c r="N23" s="24" t="s">
        <v>44</v>
      </c>
      <c r="O23" s="25">
        <v>46578</v>
      </c>
      <c r="P23" s="158"/>
      <c r="Q23" s="158"/>
      <c r="R23" s="158"/>
      <c r="S23" s="158"/>
      <c r="T23" s="182"/>
      <c r="U23" s="158"/>
    </row>
    <row r="24" spans="1:21" s="159" customFormat="1" ht="34.5" customHeight="1">
      <c r="A24" s="11" t="s">
        <v>15</v>
      </c>
      <c r="B24" s="36" t="s">
        <v>25</v>
      </c>
      <c r="C24" s="11" t="s">
        <v>124</v>
      </c>
      <c r="D24" s="13" t="s">
        <v>120</v>
      </c>
      <c r="E24" s="45" t="s">
        <v>39</v>
      </c>
      <c r="F24" s="11" t="s">
        <v>125</v>
      </c>
      <c r="G24" s="11" t="s">
        <v>41</v>
      </c>
      <c r="H24" s="13">
        <v>0</v>
      </c>
      <c r="I24" s="22" t="s">
        <v>126</v>
      </c>
      <c r="J24" s="46" t="s">
        <v>93</v>
      </c>
      <c r="K24" s="17">
        <v>5942.4033333333</v>
      </c>
      <c r="L24" s="17">
        <f t="shared" si="1"/>
        <v>71308.839999999604</v>
      </c>
      <c r="M24" s="17">
        <f t="shared" si="4"/>
        <v>356544.19999999797</v>
      </c>
      <c r="N24" s="24" t="s">
        <v>44</v>
      </c>
      <c r="O24" s="25">
        <v>46549</v>
      </c>
      <c r="P24" s="158"/>
      <c r="Q24" s="158"/>
      <c r="R24" s="158"/>
      <c r="S24" s="158"/>
      <c r="T24" s="182"/>
      <c r="U24" s="158"/>
    </row>
    <row r="25" spans="1:21" s="159" customFormat="1" ht="34.5" customHeight="1">
      <c r="A25" s="11" t="s">
        <v>15</v>
      </c>
      <c r="B25" s="26" t="s">
        <v>25</v>
      </c>
      <c r="C25" s="173" t="s">
        <v>127</v>
      </c>
      <c r="D25" s="27" t="s">
        <v>120</v>
      </c>
      <c r="E25" s="14" t="s">
        <v>95</v>
      </c>
      <c r="F25" s="11" t="s">
        <v>128</v>
      </c>
      <c r="G25" s="11" t="s">
        <v>129</v>
      </c>
      <c r="H25" s="27">
        <v>1</v>
      </c>
      <c r="I25" s="16" t="s">
        <v>130</v>
      </c>
      <c r="J25" s="11" t="s">
        <v>131</v>
      </c>
      <c r="K25" s="55">
        <v>4275.0200000000004</v>
      </c>
      <c r="L25" s="17">
        <f t="shared" si="1"/>
        <v>51300.240000000005</v>
      </c>
      <c r="M25" s="17">
        <f>K25*30</f>
        <v>128250.6</v>
      </c>
      <c r="N25" s="54" t="s">
        <v>51</v>
      </c>
      <c r="O25" s="60">
        <v>46655</v>
      </c>
      <c r="P25" s="158"/>
      <c r="Q25" s="158"/>
      <c r="R25" s="158"/>
      <c r="S25" s="158"/>
      <c r="T25" s="182"/>
      <c r="U25" s="158"/>
    </row>
    <row r="26" spans="1:21" s="159" customFormat="1" ht="34.5" customHeight="1">
      <c r="A26" s="11" t="s">
        <v>15</v>
      </c>
      <c r="B26" s="36" t="s">
        <v>25</v>
      </c>
      <c r="C26" s="173" t="s">
        <v>132</v>
      </c>
      <c r="D26" s="13" t="s">
        <v>120</v>
      </c>
      <c r="E26" s="27" t="s">
        <v>101</v>
      </c>
      <c r="F26" s="11" t="s">
        <v>133</v>
      </c>
      <c r="G26" s="11" t="s">
        <v>134</v>
      </c>
      <c r="H26" s="13">
        <v>0</v>
      </c>
      <c r="I26" s="11" t="s">
        <v>104</v>
      </c>
      <c r="J26" s="11" t="s">
        <v>105</v>
      </c>
      <c r="K26" s="17">
        <v>1422.333333333333</v>
      </c>
      <c r="L26" s="17">
        <f t="shared" si="1"/>
        <v>17067.999999999996</v>
      </c>
      <c r="M26" s="17">
        <f>K26*60</f>
        <v>85339.999999999985</v>
      </c>
      <c r="N26" s="24" t="s">
        <v>44</v>
      </c>
      <c r="O26" s="25">
        <v>47301</v>
      </c>
      <c r="P26" s="158"/>
      <c r="Q26" s="158"/>
      <c r="R26" s="158"/>
      <c r="S26" s="158"/>
      <c r="T26" s="182"/>
      <c r="U26" s="158"/>
    </row>
    <row r="27" spans="1:21" s="159" customFormat="1" ht="34.5" customHeight="1">
      <c r="A27" s="11" t="s">
        <v>15</v>
      </c>
      <c r="B27" s="36" t="s">
        <v>135</v>
      </c>
      <c r="C27" s="173" t="s">
        <v>136</v>
      </c>
      <c r="D27" s="13" t="s">
        <v>137</v>
      </c>
      <c r="E27" s="45" t="s">
        <v>101</v>
      </c>
      <c r="F27" s="11" t="s">
        <v>138</v>
      </c>
      <c r="G27" s="11" t="s">
        <v>139</v>
      </c>
      <c r="H27" s="13">
        <v>0</v>
      </c>
      <c r="I27" s="11" t="s">
        <v>140</v>
      </c>
      <c r="J27" s="22" t="s">
        <v>105</v>
      </c>
      <c r="K27" s="17">
        <v>2840.9866666666599</v>
      </c>
      <c r="L27" s="17">
        <f t="shared" si="1"/>
        <v>34091.839999999916</v>
      </c>
      <c r="M27" s="17">
        <f t="shared" ref="M27:M34" si="5">K27*30</f>
        <v>85229.599999999802</v>
      </c>
      <c r="N27" s="52" t="s">
        <v>51</v>
      </c>
      <c r="O27" s="39">
        <v>46845</v>
      </c>
      <c r="P27" s="158"/>
      <c r="Q27" s="158"/>
      <c r="R27" s="158"/>
      <c r="S27" s="158"/>
      <c r="T27" s="182"/>
      <c r="U27" s="158"/>
    </row>
    <row r="28" spans="1:21" s="159" customFormat="1" ht="34.5" customHeight="1">
      <c r="A28" s="11" t="s">
        <v>15</v>
      </c>
      <c r="B28" s="36" t="s">
        <v>135</v>
      </c>
      <c r="C28" s="173" t="s">
        <v>141</v>
      </c>
      <c r="D28" s="13" t="s">
        <v>137</v>
      </c>
      <c r="E28" s="14" t="s">
        <v>65</v>
      </c>
      <c r="F28" s="11" t="s">
        <v>142</v>
      </c>
      <c r="G28" s="11" t="s">
        <v>143</v>
      </c>
      <c r="H28" s="27">
        <v>1</v>
      </c>
      <c r="I28" s="22" t="s">
        <v>144</v>
      </c>
      <c r="J28" s="16" t="s">
        <v>145</v>
      </c>
      <c r="K28" s="17">
        <v>6492.15</v>
      </c>
      <c r="L28" s="17">
        <f t="shared" si="1"/>
        <v>77905.799999999988</v>
      </c>
      <c r="M28" s="17">
        <f t="shared" si="5"/>
        <v>194764.5</v>
      </c>
      <c r="N28" s="52" t="s">
        <v>51</v>
      </c>
      <c r="O28" s="60">
        <v>46066</v>
      </c>
      <c r="P28" s="158"/>
      <c r="Q28" s="158"/>
      <c r="R28" s="158"/>
      <c r="S28" s="158"/>
      <c r="T28" s="182"/>
      <c r="U28" s="158"/>
    </row>
    <row r="29" spans="1:21" customFormat="1" ht="32.25">
      <c r="A29" s="29" t="s">
        <v>146</v>
      </c>
      <c r="B29" s="11" t="s">
        <v>147</v>
      </c>
      <c r="C29" s="174" t="s">
        <v>148</v>
      </c>
      <c r="D29" s="13" t="s">
        <v>149</v>
      </c>
      <c r="E29" s="13" t="s">
        <v>150</v>
      </c>
      <c r="F29" s="13" t="s">
        <v>151</v>
      </c>
      <c r="G29" s="13" t="s">
        <v>152</v>
      </c>
      <c r="H29" s="13">
        <v>3</v>
      </c>
      <c r="I29" s="15" t="s">
        <v>153</v>
      </c>
      <c r="J29" s="15" t="s">
        <v>154</v>
      </c>
      <c r="K29" s="17">
        <v>29699.61</v>
      </c>
      <c r="L29" s="61">
        <v>331816.32000000001</v>
      </c>
      <c r="M29" s="61">
        <v>829540.8</v>
      </c>
      <c r="N29" s="18" t="s">
        <v>51</v>
      </c>
      <c r="O29" s="19">
        <v>46173</v>
      </c>
      <c r="P29" s="158"/>
      <c r="Q29" s="158"/>
      <c r="R29" s="158"/>
      <c r="S29" s="158"/>
      <c r="T29" s="182"/>
      <c r="U29" s="158"/>
    </row>
    <row r="30" spans="1:21" s="159" customFormat="1" ht="34.5" customHeight="1">
      <c r="A30" s="29" t="s">
        <v>146</v>
      </c>
      <c r="B30" s="22" t="s">
        <v>155</v>
      </c>
      <c r="C30" s="173" t="s">
        <v>156</v>
      </c>
      <c r="D30" s="13" t="s">
        <v>157</v>
      </c>
      <c r="E30" s="13" t="s">
        <v>19</v>
      </c>
      <c r="F30" s="13" t="s">
        <v>158</v>
      </c>
      <c r="G30" s="11" t="s">
        <v>159</v>
      </c>
      <c r="H30" s="13">
        <v>5</v>
      </c>
      <c r="I30" s="22" t="s">
        <v>160</v>
      </c>
      <c r="J30" s="11" t="s">
        <v>161</v>
      </c>
      <c r="K30" s="17">
        <f>10550.87+3*(9766.8/30)</f>
        <v>11527.550000000001</v>
      </c>
      <c r="L30" s="61">
        <f>K30*12</f>
        <v>138330.6</v>
      </c>
      <c r="M30" s="61">
        <f t="shared" si="5"/>
        <v>345826.50000000006</v>
      </c>
      <c r="N30" s="52" t="s">
        <v>24</v>
      </c>
      <c r="O30" s="25">
        <v>46494</v>
      </c>
      <c r="P30" s="158"/>
      <c r="Q30" s="158"/>
      <c r="R30" s="158"/>
      <c r="S30" s="158"/>
      <c r="T30" s="182"/>
      <c r="U30" s="158"/>
    </row>
    <row r="31" spans="1:21" s="159" customFormat="1" ht="34.5" customHeight="1">
      <c r="A31" s="29" t="s">
        <v>146</v>
      </c>
      <c r="B31" s="22" t="s">
        <v>162</v>
      </c>
      <c r="C31" s="173" t="s">
        <v>156</v>
      </c>
      <c r="D31" s="13" t="s">
        <v>163</v>
      </c>
      <c r="E31" s="13" t="s">
        <v>19</v>
      </c>
      <c r="F31" s="13" t="s">
        <v>158</v>
      </c>
      <c r="G31" s="11" t="s">
        <v>159</v>
      </c>
      <c r="H31" s="13">
        <v>5</v>
      </c>
      <c r="I31" s="22" t="s">
        <v>160</v>
      </c>
      <c r="J31" s="11" t="s">
        <v>161</v>
      </c>
      <c r="K31" s="17">
        <f>10844.84+3*(5859.9/30)</f>
        <v>11430.83</v>
      </c>
      <c r="L31" s="61">
        <f t="shared" si="1"/>
        <v>137169.96</v>
      </c>
      <c r="M31" s="61">
        <f t="shared" si="5"/>
        <v>342924.9</v>
      </c>
      <c r="N31" s="52" t="s">
        <v>24</v>
      </c>
      <c r="O31" s="25">
        <v>46494</v>
      </c>
      <c r="P31" s="158"/>
      <c r="Q31" s="158"/>
      <c r="R31" s="158"/>
      <c r="S31" s="158"/>
      <c r="T31" s="182"/>
      <c r="U31" s="158"/>
    </row>
    <row r="32" spans="1:21" s="159" customFormat="1" ht="34.5" customHeight="1">
      <c r="A32" s="29" t="s">
        <v>146</v>
      </c>
      <c r="B32" s="22" t="s">
        <v>147</v>
      </c>
      <c r="C32" s="173" t="s">
        <v>156</v>
      </c>
      <c r="D32" s="13" t="s">
        <v>164</v>
      </c>
      <c r="E32" s="13" t="s">
        <v>19</v>
      </c>
      <c r="F32" s="13" t="s">
        <v>158</v>
      </c>
      <c r="G32" s="11" t="s">
        <v>159</v>
      </c>
      <c r="H32" s="13">
        <v>5</v>
      </c>
      <c r="I32" s="22" t="s">
        <v>160</v>
      </c>
      <c r="J32" s="11" t="s">
        <v>161</v>
      </c>
      <c r="K32" s="17">
        <f>20831.2+3*(6531.3/30)</f>
        <v>21484.33</v>
      </c>
      <c r="L32" s="61">
        <f t="shared" si="1"/>
        <v>257811.96000000002</v>
      </c>
      <c r="M32" s="61">
        <f t="shared" si="5"/>
        <v>644529.9</v>
      </c>
      <c r="N32" s="52" t="s">
        <v>24</v>
      </c>
      <c r="O32" s="25">
        <v>46494</v>
      </c>
      <c r="P32" s="158"/>
      <c r="Q32" s="158"/>
      <c r="R32" s="158"/>
      <c r="S32" s="158"/>
      <c r="T32" s="182"/>
      <c r="U32" s="158"/>
    </row>
    <row r="33" spans="1:21" s="159" customFormat="1" ht="34.5" customHeight="1">
      <c r="A33" s="29" t="s">
        <v>146</v>
      </c>
      <c r="B33" s="22" t="s">
        <v>165</v>
      </c>
      <c r="C33" s="173" t="s">
        <v>156</v>
      </c>
      <c r="D33" s="13" t="s">
        <v>166</v>
      </c>
      <c r="E33" s="13" t="s">
        <v>19</v>
      </c>
      <c r="F33" s="13" t="s">
        <v>158</v>
      </c>
      <c r="G33" s="11" t="s">
        <v>159</v>
      </c>
      <c r="H33" s="13">
        <v>5</v>
      </c>
      <c r="I33" s="22" t="s">
        <v>160</v>
      </c>
      <c r="J33" s="11" t="s">
        <v>161</v>
      </c>
      <c r="K33" s="17">
        <f>10918.52+3*(10352.7/30)</f>
        <v>11953.79</v>
      </c>
      <c r="L33" s="61">
        <f t="shared" si="1"/>
        <v>143445.48000000001</v>
      </c>
      <c r="M33" s="61">
        <f t="shared" si="5"/>
        <v>358613.7</v>
      </c>
      <c r="N33" s="52" t="s">
        <v>24</v>
      </c>
      <c r="O33" s="25">
        <v>46494</v>
      </c>
      <c r="P33" s="158"/>
      <c r="Q33" s="158"/>
      <c r="R33" s="158"/>
      <c r="S33" s="158"/>
      <c r="T33" s="182"/>
      <c r="U33" s="158"/>
    </row>
    <row r="34" spans="1:21" s="159" customFormat="1" ht="34.5" customHeight="1">
      <c r="A34" s="29" t="s">
        <v>146</v>
      </c>
      <c r="B34" s="22" t="s">
        <v>167</v>
      </c>
      <c r="C34" s="173" t="s">
        <v>156</v>
      </c>
      <c r="D34" s="13" t="s">
        <v>168</v>
      </c>
      <c r="E34" s="13" t="s">
        <v>19</v>
      </c>
      <c r="F34" s="13" t="s">
        <v>158</v>
      </c>
      <c r="G34" s="11" t="s">
        <v>159</v>
      </c>
      <c r="H34" s="13">
        <v>5</v>
      </c>
      <c r="I34" s="22" t="s">
        <v>160</v>
      </c>
      <c r="J34" s="11" t="s">
        <v>161</v>
      </c>
      <c r="K34" s="17">
        <f>10705.97+3*(29004.3/30)</f>
        <v>13606.4</v>
      </c>
      <c r="L34" s="61">
        <f t="shared" si="1"/>
        <v>163276.79999999999</v>
      </c>
      <c r="M34" s="61">
        <f t="shared" si="5"/>
        <v>408192</v>
      </c>
      <c r="N34" s="52" t="s">
        <v>24</v>
      </c>
      <c r="O34" s="25">
        <v>46494</v>
      </c>
      <c r="P34" s="158"/>
      <c r="Q34" s="158"/>
      <c r="R34" s="158"/>
      <c r="S34" s="158"/>
      <c r="T34" s="182"/>
      <c r="U34" s="158"/>
    </row>
    <row r="35" spans="1:21" ht="34.5" customHeight="1">
      <c r="A35" s="62" t="s">
        <v>146</v>
      </c>
      <c r="B35" s="36" t="s">
        <v>147</v>
      </c>
      <c r="C35" s="11" t="s">
        <v>169</v>
      </c>
      <c r="D35" s="13" t="s">
        <v>164</v>
      </c>
      <c r="E35" s="45" t="s">
        <v>39</v>
      </c>
      <c r="F35" s="11" t="s">
        <v>170</v>
      </c>
      <c r="G35" s="11" t="s">
        <v>41</v>
      </c>
      <c r="H35" s="13">
        <v>0</v>
      </c>
      <c r="I35" s="11" t="s">
        <v>171</v>
      </c>
      <c r="J35" s="46" t="s">
        <v>172</v>
      </c>
      <c r="K35" s="17">
        <v>5885.19</v>
      </c>
      <c r="L35" s="17">
        <f t="shared" ref="L35:L66" si="6">K35*12</f>
        <v>70622.28</v>
      </c>
      <c r="M35" s="17">
        <f t="shared" ref="M35:M37" si="7">K35*60</f>
        <v>353111.39999999997</v>
      </c>
      <c r="N35" s="20" t="s">
        <v>44</v>
      </c>
      <c r="O35" s="25">
        <v>46550</v>
      </c>
    </row>
    <row r="36" spans="1:21" ht="34.5" customHeight="1">
      <c r="A36" s="62" t="s">
        <v>146</v>
      </c>
      <c r="B36" s="36" t="s">
        <v>147</v>
      </c>
      <c r="C36" s="173" t="s">
        <v>173</v>
      </c>
      <c r="D36" s="13" t="s">
        <v>164</v>
      </c>
      <c r="E36" s="14" t="s">
        <v>95</v>
      </c>
      <c r="F36" s="11" t="s">
        <v>174</v>
      </c>
      <c r="G36" s="11" t="s">
        <v>175</v>
      </c>
      <c r="H36" s="13">
        <v>1</v>
      </c>
      <c r="I36" s="22" t="s">
        <v>176</v>
      </c>
      <c r="J36" s="63" t="s">
        <v>177</v>
      </c>
      <c r="K36" s="17">
        <v>4392.75</v>
      </c>
      <c r="L36" s="17">
        <f t="shared" si="6"/>
        <v>52713</v>
      </c>
      <c r="M36" s="17">
        <f t="shared" si="7"/>
        <v>263565</v>
      </c>
      <c r="N36" s="24" t="s">
        <v>44</v>
      </c>
      <c r="O36" s="39">
        <v>47545</v>
      </c>
    </row>
    <row r="37" spans="1:21" ht="34.5" customHeight="1">
      <c r="A37" s="64" t="s">
        <v>146</v>
      </c>
      <c r="B37" s="65" t="s">
        <v>147</v>
      </c>
      <c r="C37" s="11" t="s">
        <v>178</v>
      </c>
      <c r="D37" s="66" t="s">
        <v>179</v>
      </c>
      <c r="E37" s="45" t="s">
        <v>71</v>
      </c>
      <c r="F37" s="11" t="s">
        <v>180</v>
      </c>
      <c r="G37" s="11" t="s">
        <v>41</v>
      </c>
      <c r="H37" s="13">
        <v>0</v>
      </c>
      <c r="I37" s="15" t="s">
        <v>181</v>
      </c>
      <c r="J37" s="46" t="s">
        <v>182</v>
      </c>
      <c r="K37" s="17">
        <v>2638.17</v>
      </c>
      <c r="L37" s="17">
        <f t="shared" si="6"/>
        <v>31658.04</v>
      </c>
      <c r="M37" s="17">
        <f t="shared" si="7"/>
        <v>158290.20000000001</v>
      </c>
      <c r="N37" s="52" t="s">
        <v>44</v>
      </c>
      <c r="O37" s="25">
        <v>46470</v>
      </c>
    </row>
    <row r="38" spans="1:21" ht="34.5" customHeight="1">
      <c r="A38" s="64" t="s">
        <v>146</v>
      </c>
      <c r="B38" s="65" t="s">
        <v>147</v>
      </c>
      <c r="C38" s="11" t="s">
        <v>183</v>
      </c>
      <c r="D38" s="66" t="s">
        <v>179</v>
      </c>
      <c r="E38" s="45" t="s">
        <v>39</v>
      </c>
      <c r="F38" s="11" t="s">
        <v>184</v>
      </c>
      <c r="G38" s="11" t="s">
        <v>41</v>
      </c>
      <c r="H38" s="13">
        <v>0</v>
      </c>
      <c r="I38" s="15" t="s">
        <v>185</v>
      </c>
      <c r="J38" s="46" t="s">
        <v>172</v>
      </c>
      <c r="K38" s="17">
        <v>14084.13</v>
      </c>
      <c r="L38" s="17">
        <f t="shared" si="6"/>
        <v>169009.56</v>
      </c>
      <c r="M38" s="17">
        <f>K38*60</f>
        <v>845047.79999999993</v>
      </c>
      <c r="N38" s="47" t="s">
        <v>44</v>
      </c>
      <c r="O38" s="25">
        <v>46470</v>
      </c>
    </row>
    <row r="39" spans="1:21" ht="34.5" customHeight="1">
      <c r="A39" s="64" t="s">
        <v>146</v>
      </c>
      <c r="B39" s="65" t="s">
        <v>147</v>
      </c>
      <c r="C39" s="175" t="s">
        <v>186</v>
      </c>
      <c r="D39" s="66" t="s">
        <v>179</v>
      </c>
      <c r="E39" s="45" t="s">
        <v>95</v>
      </c>
      <c r="F39" s="67" t="s">
        <v>187</v>
      </c>
      <c r="G39" s="11" t="s">
        <v>188</v>
      </c>
      <c r="H39" s="68">
        <v>1</v>
      </c>
      <c r="I39" s="69" t="s">
        <v>189</v>
      </c>
      <c r="J39" s="70" t="s">
        <v>190</v>
      </c>
      <c r="K39" s="17">
        <v>4499.33</v>
      </c>
      <c r="L39" s="17">
        <f t="shared" si="6"/>
        <v>53991.96</v>
      </c>
      <c r="M39" s="17">
        <f>K39*60</f>
        <v>269959.8</v>
      </c>
      <c r="N39" s="47" t="s">
        <v>44</v>
      </c>
      <c r="O39" s="25">
        <v>47553</v>
      </c>
    </row>
    <row r="40" spans="1:21" ht="34.5" customHeight="1">
      <c r="A40" s="35" t="s">
        <v>146</v>
      </c>
      <c r="B40" s="71" t="s">
        <v>147</v>
      </c>
      <c r="C40" s="172" t="s">
        <v>191</v>
      </c>
      <c r="D40" s="49" t="s">
        <v>179</v>
      </c>
      <c r="E40" s="48" t="s">
        <v>101</v>
      </c>
      <c r="F40" s="72" t="s">
        <v>192</v>
      </c>
      <c r="G40" s="35" t="s">
        <v>193</v>
      </c>
      <c r="H40" s="49">
        <v>0</v>
      </c>
      <c r="I40" s="35" t="s">
        <v>194</v>
      </c>
      <c r="J40" s="35" t="s">
        <v>195</v>
      </c>
      <c r="K40" s="57">
        <v>5066.9674999999997</v>
      </c>
      <c r="L40" s="44">
        <f t="shared" si="6"/>
        <v>60803.61</v>
      </c>
      <c r="M40" s="44">
        <f>K40*60</f>
        <v>304018.05</v>
      </c>
      <c r="N40" s="24" t="s">
        <v>44</v>
      </c>
      <c r="O40" s="39">
        <v>47581</v>
      </c>
    </row>
    <row r="41" spans="1:21" ht="34.5" customHeight="1">
      <c r="A41" s="62" t="s">
        <v>146</v>
      </c>
      <c r="B41" s="36" t="s">
        <v>167</v>
      </c>
      <c r="C41" s="11" t="s">
        <v>196</v>
      </c>
      <c r="D41" s="13" t="s">
        <v>168</v>
      </c>
      <c r="E41" s="45" t="s">
        <v>71</v>
      </c>
      <c r="F41" s="11" t="s">
        <v>197</v>
      </c>
      <c r="G41" s="11" t="s">
        <v>41</v>
      </c>
      <c r="H41" s="13">
        <v>0</v>
      </c>
      <c r="I41" s="73" t="s">
        <v>198</v>
      </c>
      <c r="J41" s="46" t="s">
        <v>199</v>
      </c>
      <c r="K41" s="17">
        <v>1958</v>
      </c>
      <c r="L41" s="17">
        <f t="shared" si="6"/>
        <v>23496</v>
      </c>
      <c r="M41" s="17">
        <f t="shared" ref="M41:M42" si="8">K41*60</f>
        <v>117480</v>
      </c>
      <c r="N41" s="24" t="s">
        <v>44</v>
      </c>
      <c r="O41" s="25">
        <v>46570</v>
      </c>
    </row>
    <row r="42" spans="1:21" ht="34.5" customHeight="1">
      <c r="A42" s="62" t="s">
        <v>146</v>
      </c>
      <c r="B42" s="26" t="s">
        <v>167</v>
      </c>
      <c r="C42" s="11" t="s">
        <v>200</v>
      </c>
      <c r="D42" s="27" t="s">
        <v>168</v>
      </c>
      <c r="E42" s="45" t="s">
        <v>39</v>
      </c>
      <c r="F42" s="11" t="s">
        <v>201</v>
      </c>
      <c r="G42" s="11" t="s">
        <v>41</v>
      </c>
      <c r="H42" s="13">
        <v>0</v>
      </c>
      <c r="I42" s="22" t="s">
        <v>202</v>
      </c>
      <c r="J42" s="74" t="s">
        <v>203</v>
      </c>
      <c r="K42" s="17">
        <v>8900.39</v>
      </c>
      <c r="L42" s="17">
        <f t="shared" si="6"/>
        <v>106804.68</v>
      </c>
      <c r="M42" s="17">
        <f t="shared" si="8"/>
        <v>534023.39999999991</v>
      </c>
      <c r="N42" s="24" t="s">
        <v>44</v>
      </c>
      <c r="O42" s="25">
        <v>46470</v>
      </c>
    </row>
    <row r="43" spans="1:21" s="161" customFormat="1" ht="34.5" customHeight="1">
      <c r="A43" s="76" t="s">
        <v>146</v>
      </c>
      <c r="B43" s="71" t="s">
        <v>167</v>
      </c>
      <c r="C43" s="172" t="s">
        <v>204</v>
      </c>
      <c r="D43" s="49" t="s">
        <v>168</v>
      </c>
      <c r="E43" s="42" t="s">
        <v>101</v>
      </c>
      <c r="F43" s="35" t="s">
        <v>205</v>
      </c>
      <c r="G43" s="11" t="s">
        <v>206</v>
      </c>
      <c r="H43" s="49">
        <v>0</v>
      </c>
      <c r="I43" s="77" t="s">
        <v>207</v>
      </c>
      <c r="J43" s="43" t="s">
        <v>208</v>
      </c>
      <c r="K43" s="44">
        <v>3046.9166</v>
      </c>
      <c r="L43" s="44">
        <f t="shared" si="6"/>
        <v>36562.999199999998</v>
      </c>
      <c r="M43" s="17">
        <f t="shared" ref="M43" si="9">K43*60</f>
        <v>182814.99600000001</v>
      </c>
      <c r="N43" s="24" t="s">
        <v>44</v>
      </c>
      <c r="O43" s="39">
        <v>47285</v>
      </c>
      <c r="P43" s="158"/>
      <c r="Q43" s="158"/>
      <c r="R43" s="158"/>
      <c r="S43" s="158"/>
      <c r="T43" s="182"/>
      <c r="U43" s="158"/>
    </row>
    <row r="44" spans="1:21" ht="34.5" customHeight="1">
      <c r="A44" s="62" t="s">
        <v>146</v>
      </c>
      <c r="B44" s="26" t="s">
        <v>167</v>
      </c>
      <c r="C44" s="173" t="s">
        <v>209</v>
      </c>
      <c r="D44" s="27" t="s">
        <v>168</v>
      </c>
      <c r="E44" s="14" t="s">
        <v>114</v>
      </c>
      <c r="F44" s="11" t="s">
        <v>210</v>
      </c>
      <c r="G44" s="11" t="s">
        <v>211</v>
      </c>
      <c r="H44" s="13">
        <v>1</v>
      </c>
      <c r="I44" s="22" t="s">
        <v>212</v>
      </c>
      <c r="J44" s="46" t="s">
        <v>213</v>
      </c>
      <c r="K44" s="44">
        <v>9766.2900000000009</v>
      </c>
      <c r="L44" s="17">
        <f t="shared" si="6"/>
        <v>117195.48000000001</v>
      </c>
      <c r="M44" s="17">
        <f>K44*30</f>
        <v>292988.7</v>
      </c>
      <c r="N44" s="24" t="s">
        <v>51</v>
      </c>
      <c r="O44" s="25">
        <v>46981</v>
      </c>
    </row>
    <row r="45" spans="1:21" ht="34.5" customHeight="1">
      <c r="A45" s="62" t="s">
        <v>146</v>
      </c>
      <c r="B45" s="26" t="s">
        <v>214</v>
      </c>
      <c r="C45" s="173" t="s">
        <v>215</v>
      </c>
      <c r="D45" s="13" t="s">
        <v>216</v>
      </c>
      <c r="E45" s="14" t="s">
        <v>217</v>
      </c>
      <c r="F45" s="11" t="s">
        <v>218</v>
      </c>
      <c r="G45" s="11" t="s">
        <v>219</v>
      </c>
      <c r="H45" s="13">
        <v>0</v>
      </c>
      <c r="I45" s="22" t="s">
        <v>220</v>
      </c>
      <c r="J45" s="23" t="s">
        <v>221</v>
      </c>
      <c r="K45" s="44">
        <v>334447.674</v>
      </c>
      <c r="L45" s="17">
        <f t="shared" si="6"/>
        <v>4013372.088</v>
      </c>
      <c r="M45" s="17">
        <f>K45*12</f>
        <v>4013372.088</v>
      </c>
      <c r="N45" s="24" t="s">
        <v>36</v>
      </c>
      <c r="O45" s="25">
        <v>46018</v>
      </c>
    </row>
    <row r="46" spans="1:21" ht="34.5" customHeight="1">
      <c r="A46" s="11" t="s">
        <v>146</v>
      </c>
      <c r="B46" s="36" t="s">
        <v>214</v>
      </c>
      <c r="C46" s="173" t="s">
        <v>222</v>
      </c>
      <c r="D46" s="13" t="s">
        <v>223</v>
      </c>
      <c r="E46" s="45" t="s">
        <v>224</v>
      </c>
      <c r="F46" s="11" t="s">
        <v>225</v>
      </c>
      <c r="G46" s="11" t="s">
        <v>226</v>
      </c>
      <c r="H46" s="13">
        <v>1</v>
      </c>
      <c r="I46" s="15" t="s">
        <v>227</v>
      </c>
      <c r="J46" s="11" t="s">
        <v>228</v>
      </c>
      <c r="K46" s="17">
        <v>12666.66</v>
      </c>
      <c r="L46" s="17">
        <v>151999.92000000001</v>
      </c>
      <c r="M46" s="17">
        <v>759999.6</v>
      </c>
      <c r="N46" s="52" t="s">
        <v>44</v>
      </c>
      <c r="O46" s="25">
        <v>47648</v>
      </c>
    </row>
    <row r="47" spans="1:21" ht="34.5" customHeight="1">
      <c r="A47" s="11" t="s">
        <v>146</v>
      </c>
      <c r="B47" s="36" t="s">
        <v>214</v>
      </c>
      <c r="C47" s="11" t="s">
        <v>229</v>
      </c>
      <c r="D47" s="13" t="s">
        <v>216</v>
      </c>
      <c r="E47" s="45" t="s">
        <v>39</v>
      </c>
      <c r="F47" s="11" t="s">
        <v>230</v>
      </c>
      <c r="G47" s="11" t="s">
        <v>41</v>
      </c>
      <c r="H47" s="13">
        <v>0</v>
      </c>
      <c r="I47" s="15" t="s">
        <v>231</v>
      </c>
      <c r="J47" s="11" t="s">
        <v>232</v>
      </c>
      <c r="K47" s="17">
        <v>1089.17</v>
      </c>
      <c r="L47" s="17">
        <f t="shared" si="6"/>
        <v>13070.04</v>
      </c>
      <c r="M47" s="17">
        <f t="shared" ref="M47:M48" si="10">K47*60</f>
        <v>65350.200000000004</v>
      </c>
      <c r="N47" s="52" t="s">
        <v>44</v>
      </c>
      <c r="O47" s="25">
        <v>46105</v>
      </c>
    </row>
    <row r="48" spans="1:21" ht="34.5" customHeight="1">
      <c r="A48" s="11" t="s">
        <v>146</v>
      </c>
      <c r="B48" s="36" t="s">
        <v>214</v>
      </c>
      <c r="C48" s="11" t="s">
        <v>233</v>
      </c>
      <c r="D48" s="13" t="s">
        <v>216</v>
      </c>
      <c r="E48" s="45" t="s">
        <v>71</v>
      </c>
      <c r="F48" s="11" t="s">
        <v>234</v>
      </c>
      <c r="G48" s="11" t="s">
        <v>41</v>
      </c>
      <c r="H48" s="13">
        <v>0</v>
      </c>
      <c r="I48" s="15" t="s">
        <v>235</v>
      </c>
      <c r="J48" s="11" t="s">
        <v>236</v>
      </c>
      <c r="K48" s="17">
        <v>475.47</v>
      </c>
      <c r="L48" s="17">
        <f t="shared" si="6"/>
        <v>5705.64</v>
      </c>
      <c r="M48" s="17">
        <f t="shared" si="10"/>
        <v>28528.2</v>
      </c>
      <c r="N48" s="52" t="s">
        <v>44</v>
      </c>
      <c r="O48" s="25">
        <v>47369</v>
      </c>
    </row>
    <row r="49" spans="1:15" ht="34.5" customHeight="1">
      <c r="A49" s="62" t="s">
        <v>146</v>
      </c>
      <c r="B49" s="36" t="s">
        <v>214</v>
      </c>
      <c r="C49" s="173" t="s">
        <v>237</v>
      </c>
      <c r="D49" s="27" t="s">
        <v>216</v>
      </c>
      <c r="E49" s="14" t="s">
        <v>95</v>
      </c>
      <c r="F49" s="11" t="s">
        <v>238</v>
      </c>
      <c r="G49" s="11" t="s">
        <v>239</v>
      </c>
      <c r="H49" s="27">
        <v>1</v>
      </c>
      <c r="I49" s="22" t="s">
        <v>240</v>
      </c>
      <c r="J49" s="16" t="s">
        <v>241</v>
      </c>
      <c r="K49" s="44">
        <v>5102.62</v>
      </c>
      <c r="L49" s="17">
        <f t="shared" si="6"/>
        <v>61231.44</v>
      </c>
      <c r="M49" s="17">
        <f>K49*12</f>
        <v>61231.44</v>
      </c>
      <c r="N49" s="20" t="s">
        <v>242</v>
      </c>
      <c r="O49" s="60">
        <v>45938</v>
      </c>
    </row>
    <row r="50" spans="1:15" ht="34.5" customHeight="1">
      <c r="A50" s="11" t="s">
        <v>146</v>
      </c>
      <c r="B50" s="36" t="s">
        <v>214</v>
      </c>
      <c r="C50" s="173" t="s">
        <v>243</v>
      </c>
      <c r="D50" s="13" t="s">
        <v>216</v>
      </c>
      <c r="E50" s="14" t="s">
        <v>101</v>
      </c>
      <c r="F50" s="11" t="s">
        <v>244</v>
      </c>
      <c r="G50" s="11" t="s">
        <v>193</v>
      </c>
      <c r="H50" s="13">
        <v>0</v>
      </c>
      <c r="I50" s="15" t="s">
        <v>194</v>
      </c>
      <c r="J50" s="23" t="s">
        <v>195</v>
      </c>
      <c r="K50" s="17">
        <v>3845.67</v>
      </c>
      <c r="L50" s="17">
        <f t="shared" si="6"/>
        <v>46148.04</v>
      </c>
      <c r="M50" s="17">
        <f>K50*60</f>
        <v>230740.2</v>
      </c>
      <c r="N50" s="78" t="s">
        <v>44</v>
      </c>
      <c r="O50" s="25">
        <v>47581</v>
      </c>
    </row>
    <row r="51" spans="1:15" ht="34.5" customHeight="1">
      <c r="A51" s="62" t="s">
        <v>146</v>
      </c>
      <c r="B51" s="36" t="s">
        <v>162</v>
      </c>
      <c r="C51" s="11" t="s">
        <v>245</v>
      </c>
      <c r="D51" s="27" t="s">
        <v>163</v>
      </c>
      <c r="E51" s="14" t="s">
        <v>71</v>
      </c>
      <c r="F51" s="11" t="s">
        <v>246</v>
      </c>
      <c r="G51" s="11" t="s">
        <v>41</v>
      </c>
      <c r="H51" s="13">
        <v>0</v>
      </c>
      <c r="I51" s="22" t="s">
        <v>247</v>
      </c>
      <c r="J51" s="11" t="s">
        <v>248</v>
      </c>
      <c r="K51" s="17">
        <v>407.36</v>
      </c>
      <c r="L51" s="17">
        <f t="shared" si="6"/>
        <v>4888.32</v>
      </c>
      <c r="M51" s="17">
        <f t="shared" ref="M51:M52" si="11">K51*60</f>
        <v>24441.600000000002</v>
      </c>
      <c r="N51" s="52" t="s">
        <v>44</v>
      </c>
      <c r="O51" s="25">
        <v>46511</v>
      </c>
    </row>
    <row r="52" spans="1:15" ht="34.5" customHeight="1">
      <c r="A52" s="62" t="s">
        <v>146</v>
      </c>
      <c r="B52" s="36" t="s">
        <v>162</v>
      </c>
      <c r="C52" s="11" t="s">
        <v>249</v>
      </c>
      <c r="D52" s="13" t="s">
        <v>163</v>
      </c>
      <c r="E52" s="45" t="s">
        <v>39</v>
      </c>
      <c r="F52" s="11" t="s">
        <v>250</v>
      </c>
      <c r="G52" s="11" t="s">
        <v>41</v>
      </c>
      <c r="H52" s="27">
        <v>0</v>
      </c>
      <c r="I52" s="22" t="s">
        <v>251</v>
      </c>
      <c r="J52" s="23" t="s">
        <v>252</v>
      </c>
      <c r="K52" s="59">
        <v>20468.21</v>
      </c>
      <c r="L52" s="17">
        <f t="shared" si="6"/>
        <v>245618.52</v>
      </c>
      <c r="M52" s="17">
        <f t="shared" si="11"/>
        <v>1228092.5999999999</v>
      </c>
      <c r="N52" s="54" t="s">
        <v>44</v>
      </c>
      <c r="O52" s="60">
        <v>46470</v>
      </c>
    </row>
    <row r="53" spans="1:15" ht="34.5" customHeight="1">
      <c r="A53" s="62" t="s">
        <v>146</v>
      </c>
      <c r="B53" s="36" t="s">
        <v>162</v>
      </c>
      <c r="C53" s="173" t="s">
        <v>253</v>
      </c>
      <c r="D53" s="13" t="s">
        <v>163</v>
      </c>
      <c r="E53" s="14" t="s">
        <v>95</v>
      </c>
      <c r="F53" s="11" t="s">
        <v>254</v>
      </c>
      <c r="G53" s="11" t="s">
        <v>255</v>
      </c>
      <c r="H53" s="13">
        <v>1</v>
      </c>
      <c r="I53" s="22" t="s">
        <v>256</v>
      </c>
      <c r="J53" s="74" t="s">
        <v>257</v>
      </c>
      <c r="K53" s="59">
        <v>10101.89</v>
      </c>
      <c r="L53" s="17">
        <f t="shared" si="6"/>
        <v>121222.68</v>
      </c>
      <c r="M53" s="17">
        <f>K53*30</f>
        <v>303056.69999999995</v>
      </c>
      <c r="N53" s="51" t="s">
        <v>51</v>
      </c>
      <c r="O53" s="39">
        <v>46938</v>
      </c>
    </row>
    <row r="54" spans="1:15" ht="34.5" customHeight="1">
      <c r="A54" s="76" t="s">
        <v>146</v>
      </c>
      <c r="B54" s="71" t="s">
        <v>162</v>
      </c>
      <c r="C54" s="173" t="s">
        <v>258</v>
      </c>
      <c r="D54" s="49" t="s">
        <v>163</v>
      </c>
      <c r="E54" s="42" t="s">
        <v>101</v>
      </c>
      <c r="F54" s="11" t="s">
        <v>259</v>
      </c>
      <c r="G54" s="11" t="s">
        <v>260</v>
      </c>
      <c r="H54" s="13">
        <v>0</v>
      </c>
      <c r="I54" s="11" t="s">
        <v>261</v>
      </c>
      <c r="J54" s="15" t="s">
        <v>262</v>
      </c>
      <c r="K54" s="17">
        <v>5598.2616666666599</v>
      </c>
      <c r="L54" s="17">
        <f t="shared" si="6"/>
        <v>67179.139999999927</v>
      </c>
      <c r="M54" s="17">
        <f t="shared" ref="M54" si="12">K54*60</f>
        <v>335895.6999999996</v>
      </c>
      <c r="N54" s="49" t="s">
        <v>44</v>
      </c>
      <c r="O54" s="39">
        <v>47309</v>
      </c>
    </row>
    <row r="55" spans="1:15" ht="34.5" customHeight="1">
      <c r="A55" s="62" t="s">
        <v>146</v>
      </c>
      <c r="B55" s="36" t="s">
        <v>162</v>
      </c>
      <c r="C55" s="173" t="s">
        <v>263</v>
      </c>
      <c r="D55" s="27" t="s">
        <v>163</v>
      </c>
      <c r="E55" s="14" t="s">
        <v>264</v>
      </c>
      <c r="F55" s="11" t="s">
        <v>265</v>
      </c>
      <c r="G55" s="11" t="s">
        <v>266</v>
      </c>
      <c r="H55" s="13">
        <v>0</v>
      </c>
      <c r="I55" s="22" t="s">
        <v>267</v>
      </c>
      <c r="J55" s="11" t="s">
        <v>268</v>
      </c>
      <c r="K55" s="17">
        <v>4205</v>
      </c>
      <c r="L55" s="17">
        <f t="shared" si="6"/>
        <v>50460</v>
      </c>
      <c r="M55" s="17">
        <f t="shared" ref="M55:M56" si="13">K55*12</f>
        <v>50460</v>
      </c>
      <c r="N55" s="52" t="s">
        <v>36</v>
      </c>
      <c r="O55" s="25">
        <v>46195</v>
      </c>
    </row>
    <row r="56" spans="1:15" ht="34.5" customHeight="1">
      <c r="A56" s="62" t="s">
        <v>146</v>
      </c>
      <c r="B56" s="26" t="s">
        <v>162</v>
      </c>
      <c r="C56" s="11" t="s">
        <v>269</v>
      </c>
      <c r="D56" s="13" t="s">
        <v>163</v>
      </c>
      <c r="E56" s="14" t="s">
        <v>270</v>
      </c>
      <c r="F56" s="11" t="s">
        <v>271</v>
      </c>
      <c r="G56" s="11" t="s">
        <v>272</v>
      </c>
      <c r="H56" s="13">
        <v>0</v>
      </c>
      <c r="I56" s="11" t="s">
        <v>273</v>
      </c>
      <c r="J56" s="15" t="s">
        <v>274</v>
      </c>
      <c r="K56" s="17">
        <v>2283.3330000000001</v>
      </c>
      <c r="L56" s="17">
        <f t="shared" si="6"/>
        <v>27399.995999999999</v>
      </c>
      <c r="M56" s="17">
        <f t="shared" si="13"/>
        <v>27399.995999999999</v>
      </c>
      <c r="N56" s="49" t="s">
        <v>36</v>
      </c>
      <c r="O56" s="39">
        <v>46383</v>
      </c>
    </row>
    <row r="57" spans="1:15" ht="34.5" customHeight="1">
      <c r="A57" s="62" t="s">
        <v>146</v>
      </c>
      <c r="B57" s="36" t="s">
        <v>275</v>
      </c>
      <c r="C57" s="11" t="s">
        <v>276</v>
      </c>
      <c r="D57" s="13" t="s">
        <v>277</v>
      </c>
      <c r="E57" s="45" t="s">
        <v>71</v>
      </c>
      <c r="F57" s="11" t="s">
        <v>278</v>
      </c>
      <c r="G57" s="11" t="s">
        <v>41</v>
      </c>
      <c r="H57" s="27">
        <v>0</v>
      </c>
      <c r="I57" s="15" t="s">
        <v>279</v>
      </c>
      <c r="J57" s="46" t="s">
        <v>280</v>
      </c>
      <c r="K57" s="17">
        <v>3152.06</v>
      </c>
      <c r="L57" s="17">
        <f t="shared" si="6"/>
        <v>37824.720000000001</v>
      </c>
      <c r="M57" s="17">
        <f t="shared" ref="M57:M58" si="14">K57*60</f>
        <v>189123.6</v>
      </c>
      <c r="N57" s="81" t="s">
        <v>44</v>
      </c>
      <c r="O57" s="60">
        <v>46470</v>
      </c>
    </row>
    <row r="58" spans="1:15" ht="34.5" customHeight="1">
      <c r="A58" s="62" t="s">
        <v>146</v>
      </c>
      <c r="B58" s="36" t="s">
        <v>275</v>
      </c>
      <c r="C58" s="11" t="s">
        <v>281</v>
      </c>
      <c r="D58" s="13" t="s">
        <v>277</v>
      </c>
      <c r="E58" s="82" t="s">
        <v>39</v>
      </c>
      <c r="F58" s="11" t="s">
        <v>282</v>
      </c>
      <c r="G58" s="11" t="s">
        <v>41</v>
      </c>
      <c r="H58" s="27">
        <v>0</v>
      </c>
      <c r="I58" s="15" t="s">
        <v>283</v>
      </c>
      <c r="J58" s="46" t="s">
        <v>284</v>
      </c>
      <c r="K58" s="17">
        <v>6690.42</v>
      </c>
      <c r="L58" s="17">
        <f t="shared" si="6"/>
        <v>80285.040000000008</v>
      </c>
      <c r="M58" s="17">
        <f t="shared" si="14"/>
        <v>401425.2</v>
      </c>
      <c r="N58" s="81" t="s">
        <v>44</v>
      </c>
      <c r="O58" s="60">
        <v>46470</v>
      </c>
    </row>
    <row r="59" spans="1:15" ht="34.5" customHeight="1">
      <c r="A59" s="11" t="s">
        <v>146</v>
      </c>
      <c r="B59" s="36" t="s">
        <v>275</v>
      </c>
      <c r="C59" s="173" t="s">
        <v>285</v>
      </c>
      <c r="D59" s="13" t="s">
        <v>277</v>
      </c>
      <c r="E59" s="83" t="s">
        <v>95</v>
      </c>
      <c r="F59" s="11" t="s">
        <v>286</v>
      </c>
      <c r="G59" s="11" t="s">
        <v>287</v>
      </c>
      <c r="H59" s="13">
        <v>1</v>
      </c>
      <c r="I59" s="15" t="s">
        <v>288</v>
      </c>
      <c r="J59" s="63" t="s">
        <v>289</v>
      </c>
      <c r="K59" s="17">
        <v>10957.6</v>
      </c>
      <c r="L59" s="17">
        <f t="shared" si="6"/>
        <v>131491.20000000001</v>
      </c>
      <c r="M59" s="17">
        <f>K59*30</f>
        <v>328728</v>
      </c>
      <c r="N59" s="51" t="s">
        <v>51</v>
      </c>
      <c r="O59" s="25">
        <v>46776</v>
      </c>
    </row>
    <row r="60" spans="1:15" ht="34.5" customHeight="1">
      <c r="A60" s="62" t="s">
        <v>146</v>
      </c>
      <c r="B60" s="36" t="s">
        <v>275</v>
      </c>
      <c r="C60" s="173" t="s">
        <v>290</v>
      </c>
      <c r="D60" s="13" t="s">
        <v>277</v>
      </c>
      <c r="E60" s="45" t="s">
        <v>101</v>
      </c>
      <c r="F60" s="11" t="s">
        <v>291</v>
      </c>
      <c r="G60" s="11" t="s">
        <v>292</v>
      </c>
      <c r="H60" s="27">
        <v>0</v>
      </c>
      <c r="I60" s="15" t="s">
        <v>140</v>
      </c>
      <c r="J60" s="46" t="s">
        <v>105</v>
      </c>
      <c r="K60" s="17">
        <v>2621.5</v>
      </c>
      <c r="L60" s="17">
        <f t="shared" si="6"/>
        <v>31458</v>
      </c>
      <c r="M60" s="17">
        <f t="shared" ref="M60" si="15">K60*60</f>
        <v>157290</v>
      </c>
      <c r="N60" s="52" t="s">
        <v>44</v>
      </c>
      <c r="O60" s="84">
        <v>47315</v>
      </c>
    </row>
    <row r="61" spans="1:15" ht="34.5" customHeight="1">
      <c r="A61" s="62" t="s">
        <v>146</v>
      </c>
      <c r="B61" s="36" t="s">
        <v>275</v>
      </c>
      <c r="C61" s="173" t="s">
        <v>293</v>
      </c>
      <c r="D61" s="13" t="s">
        <v>277</v>
      </c>
      <c r="E61" s="45" t="s">
        <v>294</v>
      </c>
      <c r="F61" s="11" t="s">
        <v>295</v>
      </c>
      <c r="G61" s="11" t="s">
        <v>296</v>
      </c>
      <c r="H61" s="27">
        <v>0</v>
      </c>
      <c r="I61" s="15" t="s">
        <v>297</v>
      </c>
      <c r="J61" s="46" t="s">
        <v>298</v>
      </c>
      <c r="K61" s="17">
        <v>500</v>
      </c>
      <c r="L61" s="17">
        <f t="shared" si="6"/>
        <v>6000</v>
      </c>
      <c r="M61" s="17">
        <f t="shared" ref="M61" si="16">K61*12</f>
        <v>6000</v>
      </c>
      <c r="N61" s="52" t="s">
        <v>36</v>
      </c>
      <c r="O61" s="25">
        <v>46361</v>
      </c>
    </row>
    <row r="62" spans="1:15" ht="34.5" customHeight="1">
      <c r="A62" s="62" t="s">
        <v>146</v>
      </c>
      <c r="B62" s="36" t="s">
        <v>275</v>
      </c>
      <c r="C62" s="173" t="s">
        <v>299</v>
      </c>
      <c r="D62" s="13" t="s">
        <v>277</v>
      </c>
      <c r="E62" s="14" t="s">
        <v>114</v>
      </c>
      <c r="F62" s="11" t="s">
        <v>300</v>
      </c>
      <c r="G62" s="11" t="s">
        <v>301</v>
      </c>
      <c r="H62" s="27">
        <v>1</v>
      </c>
      <c r="I62" s="15" t="s">
        <v>302</v>
      </c>
      <c r="J62" s="46" t="s">
        <v>303</v>
      </c>
      <c r="K62" s="17">
        <v>14653.96</v>
      </c>
      <c r="L62" s="17">
        <f t="shared" si="6"/>
        <v>175847.52</v>
      </c>
      <c r="M62" s="17">
        <f>K62*60</f>
        <v>879237.6</v>
      </c>
      <c r="N62" s="24" t="s">
        <v>44</v>
      </c>
      <c r="O62" s="34">
        <v>47427</v>
      </c>
    </row>
    <row r="63" spans="1:15" ht="34.5" customHeight="1">
      <c r="A63" s="11" t="s">
        <v>146</v>
      </c>
      <c r="B63" s="36" t="s">
        <v>165</v>
      </c>
      <c r="C63" s="11" t="s">
        <v>304</v>
      </c>
      <c r="D63" s="13" t="s">
        <v>166</v>
      </c>
      <c r="E63" s="14" t="s">
        <v>39</v>
      </c>
      <c r="F63" s="11" t="s">
        <v>305</v>
      </c>
      <c r="G63" s="11" t="s">
        <v>41</v>
      </c>
      <c r="H63" s="13">
        <v>0</v>
      </c>
      <c r="I63" s="11" t="s">
        <v>306</v>
      </c>
      <c r="J63" s="46" t="s">
        <v>307</v>
      </c>
      <c r="K63" s="17">
        <v>11157.73</v>
      </c>
      <c r="L63" s="17">
        <f t="shared" si="6"/>
        <v>133892.76</v>
      </c>
      <c r="M63" s="17">
        <f t="shared" ref="M63" si="17">K63*60</f>
        <v>669463.79999999993</v>
      </c>
      <c r="N63" s="81" t="s">
        <v>44</v>
      </c>
      <c r="O63" s="19">
        <v>46535</v>
      </c>
    </row>
    <row r="64" spans="1:15" ht="34.5" customHeight="1">
      <c r="A64" s="62" t="s">
        <v>146</v>
      </c>
      <c r="B64" s="26" t="s">
        <v>165</v>
      </c>
      <c r="C64" s="173" t="s">
        <v>308</v>
      </c>
      <c r="D64" s="27" t="s">
        <v>166</v>
      </c>
      <c r="E64" s="14" t="s">
        <v>95</v>
      </c>
      <c r="F64" s="11" t="s">
        <v>309</v>
      </c>
      <c r="G64" s="11" t="s">
        <v>175</v>
      </c>
      <c r="H64" s="13">
        <v>1</v>
      </c>
      <c r="I64" s="16" t="s">
        <v>189</v>
      </c>
      <c r="J64" s="74" t="s">
        <v>190</v>
      </c>
      <c r="K64" s="17">
        <v>5166.66</v>
      </c>
      <c r="L64" s="17">
        <f t="shared" si="6"/>
        <v>61999.92</v>
      </c>
      <c r="M64" s="17">
        <f>K64*60</f>
        <v>309999.59999999998</v>
      </c>
      <c r="N64" s="47" t="s">
        <v>44</v>
      </c>
      <c r="O64" s="25">
        <v>47544</v>
      </c>
    </row>
    <row r="65" spans="1:15" ht="34.5" customHeight="1">
      <c r="A65" s="11" t="s">
        <v>146</v>
      </c>
      <c r="B65" s="36" t="s">
        <v>165</v>
      </c>
      <c r="C65" s="173" t="s">
        <v>310</v>
      </c>
      <c r="D65" s="13" t="s">
        <v>166</v>
      </c>
      <c r="E65" s="14" t="s">
        <v>150</v>
      </c>
      <c r="F65" s="11" t="s">
        <v>311</v>
      </c>
      <c r="G65" s="11" t="s">
        <v>312</v>
      </c>
      <c r="H65" s="13">
        <v>2</v>
      </c>
      <c r="I65" s="11" t="s">
        <v>313</v>
      </c>
      <c r="J65" s="23" t="s">
        <v>314</v>
      </c>
      <c r="K65" s="53">
        <v>27060.21</v>
      </c>
      <c r="L65" s="17">
        <f t="shared" si="6"/>
        <v>324722.52</v>
      </c>
      <c r="M65" s="17">
        <f t="shared" ref="M65" si="18">K65*12</f>
        <v>324722.52</v>
      </c>
      <c r="N65" s="162" t="s">
        <v>36</v>
      </c>
      <c r="O65" s="84">
        <v>46334</v>
      </c>
    </row>
    <row r="66" spans="1:15" ht="34.5" customHeight="1">
      <c r="A66" s="62" t="s">
        <v>146</v>
      </c>
      <c r="B66" s="36" t="s">
        <v>155</v>
      </c>
      <c r="C66" s="11" t="s">
        <v>315</v>
      </c>
      <c r="D66" s="27" t="s">
        <v>157</v>
      </c>
      <c r="E66" s="45" t="s">
        <v>39</v>
      </c>
      <c r="F66" s="11" t="s">
        <v>316</v>
      </c>
      <c r="G66" s="11" t="s">
        <v>41</v>
      </c>
      <c r="H66" s="27">
        <v>0</v>
      </c>
      <c r="I66" s="73" t="s">
        <v>317</v>
      </c>
      <c r="J66" s="85" t="s">
        <v>318</v>
      </c>
      <c r="K66" s="59">
        <v>8911.19</v>
      </c>
      <c r="L66" s="17">
        <f t="shared" si="6"/>
        <v>106934.28</v>
      </c>
      <c r="M66" s="17">
        <f>K66*60</f>
        <v>534671.4</v>
      </c>
      <c r="N66" s="47" t="s">
        <v>44</v>
      </c>
      <c r="O66" s="60">
        <v>46470</v>
      </c>
    </row>
    <row r="67" spans="1:15" ht="34.5" customHeight="1">
      <c r="A67" s="62" t="s">
        <v>146</v>
      </c>
      <c r="B67" s="26" t="s">
        <v>155</v>
      </c>
      <c r="C67" s="173" t="s">
        <v>319</v>
      </c>
      <c r="D67" s="27" t="s">
        <v>157</v>
      </c>
      <c r="E67" s="14" t="s">
        <v>114</v>
      </c>
      <c r="F67" s="11" t="s">
        <v>320</v>
      </c>
      <c r="G67" s="11" t="s">
        <v>321</v>
      </c>
      <c r="H67" s="30">
        <v>1</v>
      </c>
      <c r="I67" s="22" t="s">
        <v>322</v>
      </c>
      <c r="J67" s="46" t="s">
        <v>323</v>
      </c>
      <c r="K67" s="59">
        <v>12419.32</v>
      </c>
      <c r="L67" s="17">
        <f t="shared" ref="L67:L71" si="19">K67*12</f>
        <v>149031.84</v>
      </c>
      <c r="M67" s="17">
        <f>K67*12</f>
        <v>149031.84</v>
      </c>
      <c r="N67" s="47" t="s">
        <v>36</v>
      </c>
      <c r="O67" s="25">
        <v>46233</v>
      </c>
    </row>
    <row r="68" spans="1:15" ht="34.5" customHeight="1">
      <c r="A68" s="62" t="s">
        <v>146</v>
      </c>
      <c r="B68" s="26" t="s">
        <v>147</v>
      </c>
      <c r="C68" s="11" t="s">
        <v>324</v>
      </c>
      <c r="D68" s="13" t="s">
        <v>325</v>
      </c>
      <c r="E68" s="45" t="s">
        <v>71</v>
      </c>
      <c r="F68" s="11" t="s">
        <v>326</v>
      </c>
      <c r="G68" s="11" t="s">
        <v>41</v>
      </c>
      <c r="H68" s="13">
        <v>0</v>
      </c>
      <c r="I68" s="15" t="s">
        <v>327</v>
      </c>
      <c r="J68" s="63" t="s">
        <v>182</v>
      </c>
      <c r="K68" s="17">
        <v>260.95999999999998</v>
      </c>
      <c r="L68" s="17">
        <f t="shared" si="19"/>
        <v>3131.5199999999995</v>
      </c>
      <c r="M68" s="17">
        <f t="shared" ref="M68:M69" si="20">K68*60</f>
        <v>15657.599999999999</v>
      </c>
      <c r="N68" s="24" t="s">
        <v>44</v>
      </c>
      <c r="O68" s="60">
        <v>46470</v>
      </c>
    </row>
    <row r="69" spans="1:15" ht="34.5" customHeight="1">
      <c r="A69" s="62" t="s">
        <v>146</v>
      </c>
      <c r="B69" s="26" t="s">
        <v>147</v>
      </c>
      <c r="C69" s="11" t="s">
        <v>328</v>
      </c>
      <c r="D69" s="13" t="s">
        <v>325</v>
      </c>
      <c r="E69" s="45" t="s">
        <v>39</v>
      </c>
      <c r="F69" s="11" t="s">
        <v>329</v>
      </c>
      <c r="G69" s="11" t="s">
        <v>41</v>
      </c>
      <c r="H69" s="13">
        <v>0</v>
      </c>
      <c r="I69" s="15" t="s">
        <v>330</v>
      </c>
      <c r="J69" s="63" t="s">
        <v>172</v>
      </c>
      <c r="K69" s="17">
        <v>12600.35</v>
      </c>
      <c r="L69" s="17">
        <f t="shared" si="19"/>
        <v>151204.20000000001</v>
      </c>
      <c r="M69" s="17">
        <f t="shared" si="20"/>
        <v>756021</v>
      </c>
      <c r="N69" s="24" t="s">
        <v>44</v>
      </c>
      <c r="O69" s="60">
        <v>46470</v>
      </c>
    </row>
    <row r="70" spans="1:15" ht="34.5" customHeight="1">
      <c r="A70" s="62" t="s">
        <v>146</v>
      </c>
      <c r="B70" s="26" t="s">
        <v>147</v>
      </c>
      <c r="C70" s="172" t="s">
        <v>331</v>
      </c>
      <c r="D70" s="13" t="s">
        <v>325</v>
      </c>
      <c r="E70" s="82" t="s">
        <v>95</v>
      </c>
      <c r="F70" s="11" t="s">
        <v>332</v>
      </c>
      <c r="G70" s="13" t="s">
        <v>333</v>
      </c>
      <c r="H70" s="49">
        <v>1</v>
      </c>
      <c r="I70" s="88" t="s">
        <v>334</v>
      </c>
      <c r="J70" s="89" t="s">
        <v>335</v>
      </c>
      <c r="K70" s="44">
        <v>3966</v>
      </c>
      <c r="L70" s="44">
        <f>K70*12</f>
        <v>47592</v>
      </c>
      <c r="M70" s="44">
        <f>K70*60</f>
        <v>237960</v>
      </c>
      <c r="N70" s="47" t="s">
        <v>44</v>
      </c>
      <c r="O70" s="21">
        <v>47587</v>
      </c>
    </row>
    <row r="71" spans="1:15" ht="34.5" customHeight="1">
      <c r="A71" s="62" t="s">
        <v>146</v>
      </c>
      <c r="B71" s="36" t="s">
        <v>147</v>
      </c>
      <c r="C71" s="173" t="s">
        <v>336</v>
      </c>
      <c r="D71" s="13" t="s">
        <v>325</v>
      </c>
      <c r="E71" s="45" t="s">
        <v>101</v>
      </c>
      <c r="F71" s="11" t="s">
        <v>337</v>
      </c>
      <c r="G71" s="11" t="s">
        <v>260</v>
      </c>
      <c r="H71" s="13">
        <v>0</v>
      </c>
      <c r="I71" s="73" t="s">
        <v>140</v>
      </c>
      <c r="J71" s="46" t="s">
        <v>105</v>
      </c>
      <c r="K71" s="17">
        <v>2121</v>
      </c>
      <c r="L71" s="17">
        <f t="shared" si="19"/>
        <v>25452</v>
      </c>
      <c r="M71" s="17">
        <f t="shared" ref="M71" si="21">K71*60</f>
        <v>127260</v>
      </c>
      <c r="N71" s="47" t="s">
        <v>338</v>
      </c>
      <c r="O71" s="25">
        <v>47336</v>
      </c>
    </row>
    <row r="72" spans="1:15" ht="34.5" customHeight="1">
      <c r="A72" s="29" t="s">
        <v>339</v>
      </c>
      <c r="B72" s="12" t="s">
        <v>340</v>
      </c>
      <c r="C72" s="174" t="s">
        <v>341</v>
      </c>
      <c r="D72" s="13" t="s">
        <v>342</v>
      </c>
      <c r="E72" s="14" t="s">
        <v>114</v>
      </c>
      <c r="F72" s="11" t="s">
        <v>343</v>
      </c>
      <c r="G72" s="11" t="s">
        <v>344</v>
      </c>
      <c r="H72" s="13">
        <v>3</v>
      </c>
      <c r="I72" s="22" t="s">
        <v>345</v>
      </c>
      <c r="J72" s="23" t="s">
        <v>346</v>
      </c>
      <c r="K72" s="17">
        <v>5717.52</v>
      </c>
      <c r="L72" s="17">
        <f t="shared" ref="L72:L94" si="22">K72*12</f>
        <v>68610.240000000005</v>
      </c>
      <c r="M72" s="17">
        <f>K72*60</f>
        <v>343051.2</v>
      </c>
      <c r="N72" s="24" t="s">
        <v>44</v>
      </c>
      <c r="O72" s="25">
        <v>47595</v>
      </c>
    </row>
    <row r="73" spans="1:15" ht="34.5" customHeight="1">
      <c r="A73" s="29" t="s">
        <v>339</v>
      </c>
      <c r="B73" s="12" t="s">
        <v>340</v>
      </c>
      <c r="C73" s="174" t="s">
        <v>341</v>
      </c>
      <c r="D73" s="13" t="s">
        <v>347</v>
      </c>
      <c r="E73" s="14" t="s">
        <v>65</v>
      </c>
      <c r="F73" s="11" t="s">
        <v>343</v>
      </c>
      <c r="G73" s="11" t="s">
        <v>344</v>
      </c>
      <c r="H73" s="13">
        <v>3</v>
      </c>
      <c r="I73" s="22" t="s">
        <v>345</v>
      </c>
      <c r="J73" s="23" t="s">
        <v>346</v>
      </c>
      <c r="K73" s="17">
        <v>5738.8</v>
      </c>
      <c r="L73" s="17">
        <f t="shared" si="22"/>
        <v>68865.600000000006</v>
      </c>
      <c r="M73" s="17">
        <f>K73*60</f>
        <v>344328</v>
      </c>
      <c r="N73" s="24" t="s">
        <v>44</v>
      </c>
      <c r="O73" s="25">
        <v>47595</v>
      </c>
    </row>
    <row r="74" spans="1:15" ht="34.5" customHeight="1">
      <c r="A74" s="29" t="s">
        <v>339</v>
      </c>
      <c r="B74" s="12" t="s">
        <v>340</v>
      </c>
      <c r="C74" s="174" t="s">
        <v>341</v>
      </c>
      <c r="D74" s="13" t="s">
        <v>348</v>
      </c>
      <c r="E74" s="14" t="s">
        <v>114</v>
      </c>
      <c r="F74" s="11" t="s">
        <v>343</v>
      </c>
      <c r="G74" s="11" t="s">
        <v>344</v>
      </c>
      <c r="H74" s="13">
        <v>3</v>
      </c>
      <c r="I74" s="22" t="s">
        <v>345</v>
      </c>
      <c r="J74" s="23" t="s">
        <v>346</v>
      </c>
      <c r="K74" s="17">
        <v>11423.76</v>
      </c>
      <c r="L74" s="17">
        <f t="shared" si="22"/>
        <v>137085.12</v>
      </c>
      <c r="M74" s="17">
        <f>K74*60</f>
        <v>685425.6</v>
      </c>
      <c r="N74" s="24" t="s">
        <v>44</v>
      </c>
      <c r="O74" s="25">
        <v>47595</v>
      </c>
    </row>
    <row r="75" spans="1:15" ht="63" customHeight="1">
      <c r="A75" s="29" t="s">
        <v>339</v>
      </c>
      <c r="B75" s="90" t="s">
        <v>349</v>
      </c>
      <c r="C75" s="176" t="s">
        <v>350</v>
      </c>
      <c r="D75" s="30" t="s">
        <v>351</v>
      </c>
      <c r="E75" s="83" t="s">
        <v>19</v>
      </c>
      <c r="F75" s="30" t="s">
        <v>352</v>
      </c>
      <c r="G75" s="30" t="s">
        <v>353</v>
      </c>
      <c r="H75" s="30">
        <v>8</v>
      </c>
      <c r="I75" s="91" t="s">
        <v>354</v>
      </c>
      <c r="J75" s="92" t="s">
        <v>355</v>
      </c>
      <c r="K75" s="17">
        <f>68590.53+39780.36/12*3</f>
        <v>78535.62</v>
      </c>
      <c r="L75" s="17">
        <v>823086.36</v>
      </c>
      <c r="M75" s="17">
        <v>823086.36</v>
      </c>
      <c r="N75" s="24" t="s">
        <v>36</v>
      </c>
      <c r="O75" s="93">
        <v>46353</v>
      </c>
    </row>
    <row r="76" spans="1:15" ht="34.5" customHeight="1">
      <c r="A76" s="62" t="s">
        <v>339</v>
      </c>
      <c r="B76" s="36" t="s">
        <v>356</v>
      </c>
      <c r="C76" s="11" t="s">
        <v>357</v>
      </c>
      <c r="D76" s="13" t="s">
        <v>358</v>
      </c>
      <c r="E76" s="14" t="s">
        <v>71</v>
      </c>
      <c r="F76" s="11" t="s">
        <v>359</v>
      </c>
      <c r="G76" s="11" t="s">
        <v>360</v>
      </c>
      <c r="H76" s="13">
        <v>0</v>
      </c>
      <c r="I76" s="15" t="s">
        <v>361</v>
      </c>
      <c r="J76" s="63" t="s">
        <v>362</v>
      </c>
      <c r="K76" s="163">
        <v>344.58</v>
      </c>
      <c r="L76" s="17">
        <f>K76*12</f>
        <v>4134.96</v>
      </c>
      <c r="M76" s="38">
        <f>K76*60</f>
        <v>20674.8</v>
      </c>
      <c r="N76" s="24" t="s">
        <v>363</v>
      </c>
      <c r="O76" s="39">
        <v>47638</v>
      </c>
    </row>
    <row r="77" spans="1:15" ht="34.5" customHeight="1">
      <c r="A77" s="62" t="s">
        <v>339</v>
      </c>
      <c r="B77" s="36" t="s">
        <v>356</v>
      </c>
      <c r="C77" s="11" t="s">
        <v>364</v>
      </c>
      <c r="D77" s="13" t="s">
        <v>358</v>
      </c>
      <c r="E77" s="14" t="s">
        <v>71</v>
      </c>
      <c r="F77" s="11" t="s">
        <v>365</v>
      </c>
      <c r="G77" s="11" t="s">
        <v>41</v>
      </c>
      <c r="H77" s="13">
        <v>0</v>
      </c>
      <c r="I77" s="15" t="s">
        <v>366</v>
      </c>
      <c r="J77" s="63" t="s">
        <v>367</v>
      </c>
      <c r="K77" s="17">
        <v>1037.83</v>
      </c>
      <c r="L77" s="17">
        <f t="shared" si="22"/>
        <v>12453.96</v>
      </c>
      <c r="M77" s="38">
        <f t="shared" ref="M77:M82" si="23">K77*60</f>
        <v>62269.799999999996</v>
      </c>
      <c r="N77" s="24" t="s">
        <v>363</v>
      </c>
      <c r="O77" s="39">
        <v>46482</v>
      </c>
    </row>
    <row r="78" spans="1:15" ht="34.5" customHeight="1">
      <c r="A78" s="62" t="s">
        <v>339</v>
      </c>
      <c r="B78" s="36" t="s">
        <v>356</v>
      </c>
      <c r="C78" s="11" t="s">
        <v>368</v>
      </c>
      <c r="D78" s="13" t="s">
        <v>358</v>
      </c>
      <c r="E78" s="14" t="s">
        <v>39</v>
      </c>
      <c r="F78" s="11" t="s">
        <v>369</v>
      </c>
      <c r="G78" s="11" t="s">
        <v>41</v>
      </c>
      <c r="H78" s="13">
        <v>0</v>
      </c>
      <c r="I78" s="15" t="s">
        <v>370</v>
      </c>
      <c r="J78" s="63" t="s">
        <v>371</v>
      </c>
      <c r="K78" s="17">
        <v>11558.4</v>
      </c>
      <c r="L78" s="17">
        <f t="shared" si="22"/>
        <v>138700.79999999999</v>
      </c>
      <c r="M78" s="38">
        <f t="shared" si="23"/>
        <v>693504</v>
      </c>
      <c r="N78" s="47" t="s">
        <v>363</v>
      </c>
      <c r="O78" s="39">
        <v>46475</v>
      </c>
    </row>
    <row r="79" spans="1:15" ht="34.5" customHeight="1">
      <c r="A79" s="62" t="s">
        <v>339</v>
      </c>
      <c r="B79" s="36" t="s">
        <v>356</v>
      </c>
      <c r="C79" s="173" t="s">
        <v>372</v>
      </c>
      <c r="D79" s="13" t="s">
        <v>358</v>
      </c>
      <c r="E79" s="14" t="s">
        <v>95</v>
      </c>
      <c r="F79" s="11" t="s">
        <v>373</v>
      </c>
      <c r="G79" s="11" t="s">
        <v>374</v>
      </c>
      <c r="H79" s="13">
        <v>1</v>
      </c>
      <c r="I79" s="15" t="s">
        <v>375</v>
      </c>
      <c r="J79" s="63" t="s">
        <v>376</v>
      </c>
      <c r="K79" s="17">
        <v>4874.16</v>
      </c>
      <c r="L79" s="17">
        <f t="shared" si="22"/>
        <v>58489.919999999998</v>
      </c>
      <c r="M79" s="38">
        <f t="shared" si="23"/>
        <v>292449.59999999998</v>
      </c>
      <c r="N79" s="47" t="s">
        <v>363</v>
      </c>
      <c r="O79" s="39">
        <v>47411</v>
      </c>
    </row>
    <row r="80" spans="1:15" ht="34.5" customHeight="1">
      <c r="A80" s="62" t="s">
        <v>339</v>
      </c>
      <c r="B80" s="36" t="s">
        <v>356</v>
      </c>
      <c r="C80" s="11" t="s">
        <v>377</v>
      </c>
      <c r="D80" s="13" t="s">
        <v>358</v>
      </c>
      <c r="E80" s="45" t="s">
        <v>378</v>
      </c>
      <c r="F80" s="11" t="s">
        <v>379</v>
      </c>
      <c r="G80" s="11" t="s">
        <v>380</v>
      </c>
      <c r="H80" s="13">
        <v>0</v>
      </c>
      <c r="I80" s="11" t="s">
        <v>381</v>
      </c>
      <c r="J80" s="63" t="s">
        <v>382</v>
      </c>
      <c r="K80" s="53">
        <v>67323.199999999997</v>
      </c>
      <c r="L80" s="17">
        <f t="shared" si="22"/>
        <v>807878.39999999991</v>
      </c>
      <c r="M80" s="38">
        <f t="shared" si="23"/>
        <v>4039392</v>
      </c>
      <c r="N80" s="49" t="s">
        <v>383</v>
      </c>
      <c r="O80" s="39">
        <v>47463</v>
      </c>
    </row>
    <row r="81" spans="1:15" ht="34.5" customHeight="1">
      <c r="A81" s="62" t="s">
        <v>339</v>
      </c>
      <c r="B81" s="36" t="s">
        <v>356</v>
      </c>
      <c r="C81" s="173" t="s">
        <v>384</v>
      </c>
      <c r="D81" s="13" t="s">
        <v>358</v>
      </c>
      <c r="E81" s="48" t="s">
        <v>385</v>
      </c>
      <c r="F81" s="11" t="s">
        <v>386</v>
      </c>
      <c r="G81" s="11" t="s">
        <v>387</v>
      </c>
      <c r="H81" s="13">
        <v>0</v>
      </c>
      <c r="I81" s="15" t="s">
        <v>388</v>
      </c>
      <c r="J81" s="63" t="s">
        <v>389</v>
      </c>
      <c r="K81" s="53">
        <v>857.42</v>
      </c>
      <c r="L81" s="17">
        <f t="shared" si="22"/>
        <v>10289.039999999999</v>
      </c>
      <c r="M81" s="38">
        <f t="shared" si="23"/>
        <v>51445.2</v>
      </c>
      <c r="N81" s="47" t="s">
        <v>44</v>
      </c>
      <c r="O81" s="39">
        <v>47252</v>
      </c>
    </row>
    <row r="82" spans="1:15" ht="34.5" customHeight="1">
      <c r="A82" s="62" t="s">
        <v>339</v>
      </c>
      <c r="B82" s="36" t="s">
        <v>356</v>
      </c>
      <c r="C82" s="173" t="s">
        <v>390</v>
      </c>
      <c r="D82" s="13" t="s">
        <v>358</v>
      </c>
      <c r="E82" s="14" t="s">
        <v>101</v>
      </c>
      <c r="F82" s="11" t="s">
        <v>391</v>
      </c>
      <c r="G82" s="11" t="s">
        <v>134</v>
      </c>
      <c r="H82" s="13">
        <v>0</v>
      </c>
      <c r="I82" s="15" t="s">
        <v>392</v>
      </c>
      <c r="J82" s="63" t="s">
        <v>105</v>
      </c>
      <c r="K82" s="17">
        <v>3543.8125</v>
      </c>
      <c r="L82" s="17">
        <f t="shared" si="22"/>
        <v>42525.75</v>
      </c>
      <c r="M82" s="38">
        <f t="shared" si="23"/>
        <v>212628.75</v>
      </c>
      <c r="N82" s="47" t="s">
        <v>44</v>
      </c>
      <c r="O82" s="39">
        <v>47330</v>
      </c>
    </row>
    <row r="83" spans="1:15" ht="34.5" customHeight="1">
      <c r="A83" s="35" t="s">
        <v>339</v>
      </c>
      <c r="B83" s="71" t="s">
        <v>356</v>
      </c>
      <c r="C83" s="172" t="s">
        <v>393</v>
      </c>
      <c r="D83" s="49" t="s">
        <v>358</v>
      </c>
      <c r="E83" s="48" t="s">
        <v>394</v>
      </c>
      <c r="F83" s="35" t="s">
        <v>395</v>
      </c>
      <c r="G83" s="35" t="s">
        <v>396</v>
      </c>
      <c r="H83" s="49">
        <v>0</v>
      </c>
      <c r="I83" s="94" t="s">
        <v>397</v>
      </c>
      <c r="J83" s="43" t="s">
        <v>398</v>
      </c>
      <c r="K83" s="44">
        <v>1700</v>
      </c>
      <c r="L83" s="44">
        <f t="shared" si="22"/>
        <v>20400</v>
      </c>
      <c r="M83" s="17">
        <f>K83*12</f>
        <v>20400</v>
      </c>
      <c r="N83" s="47" t="s">
        <v>36</v>
      </c>
      <c r="O83" s="39">
        <v>46185</v>
      </c>
    </row>
    <row r="84" spans="1:15" ht="34.5" customHeight="1">
      <c r="A84" s="11" t="s">
        <v>339</v>
      </c>
      <c r="B84" s="36" t="s">
        <v>399</v>
      </c>
      <c r="C84" s="11" t="s">
        <v>400</v>
      </c>
      <c r="D84" s="13" t="s">
        <v>401</v>
      </c>
      <c r="E84" s="14" t="s">
        <v>71</v>
      </c>
      <c r="F84" s="11" t="s">
        <v>402</v>
      </c>
      <c r="G84" s="11" t="s">
        <v>41</v>
      </c>
      <c r="H84" s="13">
        <v>0</v>
      </c>
      <c r="I84" s="22" t="s">
        <v>403</v>
      </c>
      <c r="J84" s="46" t="s">
        <v>404</v>
      </c>
      <c r="K84" s="17">
        <v>375.04</v>
      </c>
      <c r="L84" s="17">
        <f t="shared" si="22"/>
        <v>4500.4800000000005</v>
      </c>
      <c r="M84" s="38">
        <f t="shared" ref="M84:M85" si="24">K84*60</f>
        <v>22502.400000000001</v>
      </c>
      <c r="N84" s="52" t="s">
        <v>363</v>
      </c>
      <c r="O84" s="25">
        <v>46538</v>
      </c>
    </row>
    <row r="85" spans="1:15" ht="34.5" customHeight="1">
      <c r="A85" s="11" t="s">
        <v>339</v>
      </c>
      <c r="B85" s="36" t="s">
        <v>399</v>
      </c>
      <c r="C85" s="11" t="s">
        <v>405</v>
      </c>
      <c r="D85" s="13" t="s">
        <v>401</v>
      </c>
      <c r="E85" s="14" t="s">
        <v>39</v>
      </c>
      <c r="F85" s="11" t="s">
        <v>406</v>
      </c>
      <c r="G85" s="11" t="s">
        <v>41</v>
      </c>
      <c r="H85" s="13">
        <v>0</v>
      </c>
      <c r="I85" s="11" t="s">
        <v>407</v>
      </c>
      <c r="J85" s="11" t="s">
        <v>408</v>
      </c>
      <c r="K85" s="17">
        <v>4899.95</v>
      </c>
      <c r="L85" s="17">
        <f t="shared" si="22"/>
        <v>58799.399999999994</v>
      </c>
      <c r="M85" s="38">
        <f t="shared" si="24"/>
        <v>293997</v>
      </c>
      <c r="N85" s="47" t="s">
        <v>363</v>
      </c>
      <c r="O85" s="25">
        <v>46538</v>
      </c>
    </row>
    <row r="86" spans="1:15" ht="34.5" customHeight="1">
      <c r="A86" s="11" t="s">
        <v>339</v>
      </c>
      <c r="B86" s="36" t="s">
        <v>399</v>
      </c>
      <c r="C86" s="173" t="s">
        <v>409</v>
      </c>
      <c r="D86" s="13" t="s">
        <v>401</v>
      </c>
      <c r="E86" s="14" t="s">
        <v>95</v>
      </c>
      <c r="F86" s="11" t="s">
        <v>410</v>
      </c>
      <c r="G86" s="11" t="s">
        <v>411</v>
      </c>
      <c r="H86" s="13">
        <v>1</v>
      </c>
      <c r="I86" s="11" t="s">
        <v>412</v>
      </c>
      <c r="J86" s="63" t="s">
        <v>413</v>
      </c>
      <c r="K86" s="17">
        <v>5868.38</v>
      </c>
      <c r="L86" s="17">
        <f t="shared" si="22"/>
        <v>70420.56</v>
      </c>
      <c r="M86" s="17">
        <f>K86*30</f>
        <v>176051.4</v>
      </c>
      <c r="N86" s="95" t="s">
        <v>51</v>
      </c>
      <c r="O86" s="39">
        <v>46284</v>
      </c>
    </row>
    <row r="87" spans="1:15" ht="34.5" customHeight="1">
      <c r="A87" s="11" t="s">
        <v>339</v>
      </c>
      <c r="B87" s="36" t="s">
        <v>414</v>
      </c>
      <c r="C87" s="11" t="s">
        <v>415</v>
      </c>
      <c r="D87" s="13" t="s">
        <v>416</v>
      </c>
      <c r="E87" s="14" t="s">
        <v>71</v>
      </c>
      <c r="F87" s="11" t="s">
        <v>417</v>
      </c>
      <c r="G87" s="11" t="s">
        <v>41</v>
      </c>
      <c r="H87" s="13">
        <v>0</v>
      </c>
      <c r="I87" s="11" t="s">
        <v>418</v>
      </c>
      <c r="J87" s="11" t="s">
        <v>419</v>
      </c>
      <c r="K87" s="17">
        <v>286.89</v>
      </c>
      <c r="L87" s="17">
        <f t="shared" si="22"/>
        <v>3442.68</v>
      </c>
      <c r="M87" s="38">
        <f>K87*60</f>
        <v>17213.399999999998</v>
      </c>
      <c r="N87" s="24" t="s">
        <v>363</v>
      </c>
      <c r="O87" s="25">
        <v>45936</v>
      </c>
    </row>
    <row r="88" spans="1:15" ht="34.5" customHeight="1">
      <c r="A88" s="11" t="s">
        <v>339</v>
      </c>
      <c r="B88" s="36" t="s">
        <v>414</v>
      </c>
      <c r="C88" s="11" t="s">
        <v>420</v>
      </c>
      <c r="D88" s="13" t="s">
        <v>416</v>
      </c>
      <c r="E88" s="45" t="s">
        <v>39</v>
      </c>
      <c r="F88" s="11" t="s">
        <v>421</v>
      </c>
      <c r="G88" s="11" t="s">
        <v>422</v>
      </c>
      <c r="H88" s="13">
        <v>0</v>
      </c>
      <c r="I88" s="14" t="s">
        <v>423</v>
      </c>
      <c r="J88" s="23" t="s">
        <v>424</v>
      </c>
      <c r="K88" s="17">
        <v>901.49</v>
      </c>
      <c r="L88" s="17">
        <f t="shared" si="22"/>
        <v>10817.880000000001</v>
      </c>
      <c r="M88" s="38">
        <f>K88*60</f>
        <v>54089.4</v>
      </c>
      <c r="N88" s="24" t="s">
        <v>44</v>
      </c>
      <c r="O88" s="25">
        <v>45936</v>
      </c>
    </row>
    <row r="89" spans="1:15" ht="34.5" customHeight="1">
      <c r="A89" s="11" t="s">
        <v>339</v>
      </c>
      <c r="B89" s="36" t="s">
        <v>425</v>
      </c>
      <c r="C89" s="11" t="s">
        <v>426</v>
      </c>
      <c r="D89" s="13" t="s">
        <v>427</v>
      </c>
      <c r="E89" s="14" t="s">
        <v>71</v>
      </c>
      <c r="F89" s="11" t="s">
        <v>428</v>
      </c>
      <c r="G89" s="11" t="s">
        <v>41</v>
      </c>
      <c r="H89" s="13">
        <v>0</v>
      </c>
      <c r="I89" s="16" t="s">
        <v>429</v>
      </c>
      <c r="J89" s="74" t="s">
        <v>430</v>
      </c>
      <c r="K89" s="17">
        <v>1515.36</v>
      </c>
      <c r="L89" s="17">
        <f t="shared" si="22"/>
        <v>18184.32</v>
      </c>
      <c r="M89" s="38">
        <f>K89*60</f>
        <v>90921.599999999991</v>
      </c>
      <c r="N89" s="52" t="s">
        <v>44</v>
      </c>
      <c r="O89" s="60">
        <v>46508</v>
      </c>
    </row>
    <row r="90" spans="1:15" ht="34.5" customHeight="1">
      <c r="A90" s="11" t="s">
        <v>339</v>
      </c>
      <c r="B90" s="36" t="s">
        <v>425</v>
      </c>
      <c r="C90" s="11" t="s">
        <v>431</v>
      </c>
      <c r="D90" s="13" t="s">
        <v>427</v>
      </c>
      <c r="E90" s="14" t="s">
        <v>39</v>
      </c>
      <c r="F90" s="11" t="s">
        <v>432</v>
      </c>
      <c r="G90" s="11" t="s">
        <v>41</v>
      </c>
      <c r="H90" s="13">
        <v>0</v>
      </c>
      <c r="I90" s="11" t="s">
        <v>433</v>
      </c>
      <c r="J90" s="46" t="s">
        <v>434</v>
      </c>
      <c r="K90" s="17">
        <v>832.82</v>
      </c>
      <c r="L90" s="17">
        <f t="shared" si="22"/>
        <v>9993.84</v>
      </c>
      <c r="M90" s="38">
        <f>K90*60</f>
        <v>49969.200000000004</v>
      </c>
      <c r="N90" s="24" t="s">
        <v>363</v>
      </c>
      <c r="O90" s="60">
        <v>46508</v>
      </c>
    </row>
    <row r="91" spans="1:15" ht="34.5" customHeight="1">
      <c r="A91" s="11" t="s">
        <v>339</v>
      </c>
      <c r="B91" s="36" t="s">
        <v>425</v>
      </c>
      <c r="C91" s="173" t="s">
        <v>435</v>
      </c>
      <c r="D91" s="13" t="s">
        <v>427</v>
      </c>
      <c r="E91" s="14" t="s">
        <v>95</v>
      </c>
      <c r="F91" s="11" t="s">
        <v>436</v>
      </c>
      <c r="G91" s="11" t="s">
        <v>437</v>
      </c>
      <c r="H91" s="27">
        <v>1</v>
      </c>
      <c r="I91" s="11" t="s">
        <v>438</v>
      </c>
      <c r="J91" s="46" t="s">
        <v>439</v>
      </c>
      <c r="K91" s="53">
        <v>3970.79</v>
      </c>
      <c r="L91" s="17">
        <f t="shared" si="22"/>
        <v>47649.479999999996</v>
      </c>
      <c r="M91" s="17">
        <f>K91*30</f>
        <v>119123.7</v>
      </c>
      <c r="N91" s="54" t="s">
        <v>51</v>
      </c>
      <c r="O91" s="60">
        <v>46867</v>
      </c>
    </row>
    <row r="92" spans="1:15" ht="34.5" customHeight="1">
      <c r="A92" s="11" t="s">
        <v>339</v>
      </c>
      <c r="B92" s="36" t="s">
        <v>340</v>
      </c>
      <c r="C92" s="11" t="s">
        <v>440</v>
      </c>
      <c r="D92" s="13" t="s">
        <v>441</v>
      </c>
      <c r="E92" s="14" t="s">
        <v>71</v>
      </c>
      <c r="F92" s="11" t="s">
        <v>442</v>
      </c>
      <c r="G92" s="11" t="s">
        <v>41</v>
      </c>
      <c r="H92" s="11">
        <v>0</v>
      </c>
      <c r="I92" s="22" t="s">
        <v>443</v>
      </c>
      <c r="J92" s="46" t="s">
        <v>444</v>
      </c>
      <c r="K92" s="17">
        <v>369.73</v>
      </c>
      <c r="L92" s="17">
        <f t="shared" si="22"/>
        <v>4436.76</v>
      </c>
      <c r="M92" s="38">
        <f>K92*60</f>
        <v>22183.800000000003</v>
      </c>
      <c r="N92" s="24" t="s">
        <v>363</v>
      </c>
      <c r="O92" s="100">
        <v>46657</v>
      </c>
    </row>
    <row r="93" spans="1:15" ht="34.5" customHeight="1">
      <c r="A93" s="11" t="s">
        <v>339</v>
      </c>
      <c r="B93" s="36" t="s">
        <v>340</v>
      </c>
      <c r="C93" s="11" t="s">
        <v>445</v>
      </c>
      <c r="D93" s="13" t="s">
        <v>342</v>
      </c>
      <c r="E93" s="14" t="s">
        <v>39</v>
      </c>
      <c r="F93" s="11" t="s">
        <v>446</v>
      </c>
      <c r="G93" s="11" t="s">
        <v>41</v>
      </c>
      <c r="H93" s="11">
        <v>0</v>
      </c>
      <c r="I93" s="22" t="s">
        <v>447</v>
      </c>
      <c r="J93" s="46" t="s">
        <v>448</v>
      </c>
      <c r="K93" s="53">
        <v>4106.07</v>
      </c>
      <c r="L93" s="17">
        <f t="shared" si="22"/>
        <v>49272.84</v>
      </c>
      <c r="M93" s="38">
        <f>K93*60</f>
        <v>246364.19999999998</v>
      </c>
      <c r="N93" s="47" t="s">
        <v>363</v>
      </c>
      <c r="O93" s="100">
        <v>46470</v>
      </c>
    </row>
    <row r="94" spans="1:15" ht="34.5" customHeight="1">
      <c r="A94" s="11" t="s">
        <v>339</v>
      </c>
      <c r="B94" s="36" t="s">
        <v>340</v>
      </c>
      <c r="C94" s="173" t="s">
        <v>449</v>
      </c>
      <c r="D94" s="13" t="s">
        <v>342</v>
      </c>
      <c r="E94" s="14" t="s">
        <v>95</v>
      </c>
      <c r="F94" s="11" t="s">
        <v>450</v>
      </c>
      <c r="G94" s="11" t="s">
        <v>451</v>
      </c>
      <c r="H94" s="13">
        <v>1</v>
      </c>
      <c r="I94" s="22" t="s">
        <v>452</v>
      </c>
      <c r="J94" s="46" t="s">
        <v>453</v>
      </c>
      <c r="K94" s="59">
        <v>3691.47</v>
      </c>
      <c r="L94" s="17">
        <f t="shared" si="22"/>
        <v>44297.64</v>
      </c>
      <c r="M94" s="17">
        <f>K94*30</f>
        <v>110744.09999999999</v>
      </c>
      <c r="N94" s="24" t="s">
        <v>51</v>
      </c>
      <c r="O94" s="25">
        <v>46053</v>
      </c>
    </row>
    <row r="95" spans="1:15" ht="34.5" customHeight="1">
      <c r="A95" s="11" t="s">
        <v>339</v>
      </c>
      <c r="B95" s="36" t="s">
        <v>454</v>
      </c>
      <c r="C95" s="11" t="s">
        <v>455</v>
      </c>
      <c r="D95" s="13" t="s">
        <v>456</v>
      </c>
      <c r="E95" s="14" t="s">
        <v>39</v>
      </c>
      <c r="F95" s="11" t="s">
        <v>457</v>
      </c>
      <c r="G95" s="11" t="s">
        <v>41</v>
      </c>
      <c r="H95" s="13">
        <v>0</v>
      </c>
      <c r="I95" s="11" t="s">
        <v>458</v>
      </c>
      <c r="J95" s="46" t="s">
        <v>459</v>
      </c>
      <c r="K95" s="17">
        <v>25137.94</v>
      </c>
      <c r="L95" s="17">
        <f t="shared" ref="L95:L148" si="25">K95*12</f>
        <v>301655.27999999997</v>
      </c>
      <c r="M95" s="38">
        <f>K95*60</f>
        <v>1508276.4</v>
      </c>
      <c r="N95" s="47" t="s">
        <v>363</v>
      </c>
      <c r="O95" s="25">
        <v>46538</v>
      </c>
    </row>
    <row r="96" spans="1:15" ht="34.5" customHeight="1">
      <c r="A96" s="11" t="s">
        <v>339</v>
      </c>
      <c r="B96" s="36" t="s">
        <v>454</v>
      </c>
      <c r="C96" s="11" t="s">
        <v>460</v>
      </c>
      <c r="D96" s="13" t="s">
        <v>456</v>
      </c>
      <c r="E96" s="14" t="s">
        <v>71</v>
      </c>
      <c r="F96" s="11" t="s">
        <v>461</v>
      </c>
      <c r="G96" s="11" t="s">
        <v>41</v>
      </c>
      <c r="H96" s="13">
        <v>0</v>
      </c>
      <c r="I96" s="22" t="s">
        <v>462</v>
      </c>
      <c r="J96" s="46" t="s">
        <v>463</v>
      </c>
      <c r="K96" s="17">
        <v>408.73200000000003</v>
      </c>
      <c r="L96" s="17">
        <f t="shared" si="25"/>
        <v>4904.7840000000006</v>
      </c>
      <c r="M96" s="38">
        <f>K96*60</f>
        <v>24523.920000000002</v>
      </c>
      <c r="N96" s="47" t="s">
        <v>363</v>
      </c>
      <c r="O96" s="25">
        <v>46475</v>
      </c>
    </row>
    <row r="97" spans="1:15" ht="34.5" customHeight="1">
      <c r="A97" s="11" t="s">
        <v>339</v>
      </c>
      <c r="B97" s="36" t="s">
        <v>454</v>
      </c>
      <c r="C97" s="173" t="s">
        <v>464</v>
      </c>
      <c r="D97" s="13" t="s">
        <v>456</v>
      </c>
      <c r="E97" s="14" t="s">
        <v>95</v>
      </c>
      <c r="F97" s="11" t="s">
        <v>465</v>
      </c>
      <c r="G97" s="11" t="s">
        <v>466</v>
      </c>
      <c r="H97" s="13">
        <v>2</v>
      </c>
      <c r="I97" s="22" t="s">
        <v>467</v>
      </c>
      <c r="J97" s="46" t="s">
        <v>468</v>
      </c>
      <c r="K97" s="17">
        <v>14266.21</v>
      </c>
      <c r="L97" s="17">
        <f t="shared" si="25"/>
        <v>171194.52</v>
      </c>
      <c r="M97" s="17">
        <f>K97*30</f>
        <v>427986.3</v>
      </c>
      <c r="N97" s="24" t="s">
        <v>51</v>
      </c>
      <c r="O97" s="25">
        <v>46895</v>
      </c>
    </row>
    <row r="98" spans="1:15" ht="34.5" customHeight="1">
      <c r="A98" s="11" t="s">
        <v>339</v>
      </c>
      <c r="B98" s="36" t="s">
        <v>454</v>
      </c>
      <c r="C98" s="173" t="s">
        <v>469</v>
      </c>
      <c r="D98" s="13" t="s">
        <v>456</v>
      </c>
      <c r="E98" s="14" t="s">
        <v>394</v>
      </c>
      <c r="F98" s="11" t="s">
        <v>470</v>
      </c>
      <c r="G98" s="11" t="s">
        <v>471</v>
      </c>
      <c r="H98" s="13">
        <v>0</v>
      </c>
      <c r="I98" s="22" t="s">
        <v>472</v>
      </c>
      <c r="J98" s="46" t="s">
        <v>473</v>
      </c>
      <c r="K98" s="17">
        <v>870</v>
      </c>
      <c r="L98" s="17">
        <f t="shared" si="25"/>
        <v>10440</v>
      </c>
      <c r="M98" s="17">
        <f>K98*60</f>
        <v>52200</v>
      </c>
      <c r="N98" s="52" t="s">
        <v>44</v>
      </c>
      <c r="O98" s="39">
        <v>47461</v>
      </c>
    </row>
    <row r="99" spans="1:15" ht="34.5" customHeight="1">
      <c r="A99" s="11" t="s">
        <v>339</v>
      </c>
      <c r="B99" s="36" t="s">
        <v>454</v>
      </c>
      <c r="C99" s="173" t="s">
        <v>474</v>
      </c>
      <c r="D99" s="13" t="s">
        <v>456</v>
      </c>
      <c r="E99" s="14" t="s">
        <v>101</v>
      </c>
      <c r="F99" s="11" t="s">
        <v>475</v>
      </c>
      <c r="G99" s="11" t="s">
        <v>134</v>
      </c>
      <c r="H99" s="13">
        <v>0</v>
      </c>
      <c r="I99" s="22" t="s">
        <v>476</v>
      </c>
      <c r="J99" s="11" t="s">
        <v>105</v>
      </c>
      <c r="K99" s="17">
        <v>3898.3330000000001</v>
      </c>
      <c r="L99" s="17">
        <f t="shared" si="25"/>
        <v>46779.995999999999</v>
      </c>
      <c r="M99" s="38">
        <f>K99*60</f>
        <v>233899.98</v>
      </c>
      <c r="N99" s="52" t="s">
        <v>44</v>
      </c>
      <c r="O99" s="25">
        <v>47330</v>
      </c>
    </row>
    <row r="100" spans="1:15" ht="34.5" customHeight="1">
      <c r="A100" s="11" t="s">
        <v>339</v>
      </c>
      <c r="B100" s="36" t="s">
        <v>414</v>
      </c>
      <c r="C100" s="11" t="s">
        <v>477</v>
      </c>
      <c r="D100" s="13" t="s">
        <v>478</v>
      </c>
      <c r="E100" s="14" t="s">
        <v>71</v>
      </c>
      <c r="F100" s="11" t="s">
        <v>479</v>
      </c>
      <c r="G100" s="11" t="s">
        <v>41</v>
      </c>
      <c r="H100" s="13">
        <v>0</v>
      </c>
      <c r="I100" s="29" t="s">
        <v>418</v>
      </c>
      <c r="J100" s="46" t="s">
        <v>419</v>
      </c>
      <c r="K100" s="17">
        <v>1671.29</v>
      </c>
      <c r="L100" s="17">
        <f t="shared" si="25"/>
        <v>20055.48</v>
      </c>
      <c r="M100" s="38">
        <f>K100*60</f>
        <v>100277.4</v>
      </c>
      <c r="N100" s="24" t="s">
        <v>363</v>
      </c>
      <c r="O100" s="39">
        <v>46538</v>
      </c>
    </row>
    <row r="101" spans="1:15" ht="34.5" customHeight="1">
      <c r="A101" s="11" t="s">
        <v>339</v>
      </c>
      <c r="B101" s="36" t="s">
        <v>414</v>
      </c>
      <c r="C101" s="11" t="s">
        <v>480</v>
      </c>
      <c r="D101" s="13" t="s">
        <v>478</v>
      </c>
      <c r="E101" s="14" t="s">
        <v>39</v>
      </c>
      <c r="F101" s="11" t="s">
        <v>481</v>
      </c>
      <c r="G101" s="11" t="s">
        <v>41</v>
      </c>
      <c r="H101" s="13">
        <v>0</v>
      </c>
      <c r="I101" s="22" t="s">
        <v>482</v>
      </c>
      <c r="J101" s="23" t="s">
        <v>483</v>
      </c>
      <c r="K101" s="17">
        <v>11854.96</v>
      </c>
      <c r="L101" s="17">
        <f t="shared" si="25"/>
        <v>142259.51999999999</v>
      </c>
      <c r="M101" s="38">
        <f>K101*60</f>
        <v>711297.6</v>
      </c>
      <c r="N101" s="24" t="s">
        <v>363</v>
      </c>
      <c r="O101" s="39">
        <v>46481</v>
      </c>
    </row>
    <row r="102" spans="1:15" ht="34.5" customHeight="1">
      <c r="A102" s="11" t="s">
        <v>339</v>
      </c>
      <c r="B102" s="26" t="s">
        <v>414</v>
      </c>
      <c r="C102" s="173" t="s">
        <v>484</v>
      </c>
      <c r="D102" s="27" t="s">
        <v>478</v>
      </c>
      <c r="E102" s="14" t="s">
        <v>95</v>
      </c>
      <c r="F102" s="11" t="s">
        <v>485</v>
      </c>
      <c r="G102" s="11" t="s">
        <v>486</v>
      </c>
      <c r="H102" s="41">
        <v>2</v>
      </c>
      <c r="I102" s="22" t="s">
        <v>487</v>
      </c>
      <c r="J102" s="22" t="s">
        <v>488</v>
      </c>
      <c r="K102" s="59">
        <v>10594.76</v>
      </c>
      <c r="L102" s="44">
        <f t="shared" si="25"/>
        <v>127137.12</v>
      </c>
      <c r="M102" s="17">
        <f>K102*30</f>
        <v>317842.8</v>
      </c>
      <c r="N102" s="24" t="s">
        <v>489</v>
      </c>
      <c r="O102" s="25">
        <v>46359</v>
      </c>
    </row>
    <row r="103" spans="1:15" ht="34.5" customHeight="1">
      <c r="A103" s="11" t="s">
        <v>339</v>
      </c>
      <c r="B103" s="36" t="s">
        <v>414</v>
      </c>
      <c r="C103" s="173" t="s">
        <v>490</v>
      </c>
      <c r="D103" s="13" t="s">
        <v>478</v>
      </c>
      <c r="E103" s="14" t="s">
        <v>491</v>
      </c>
      <c r="F103" s="11" t="s">
        <v>492</v>
      </c>
      <c r="G103" s="11" t="s">
        <v>493</v>
      </c>
      <c r="H103" s="13">
        <v>0</v>
      </c>
      <c r="I103" s="11" t="s">
        <v>494</v>
      </c>
      <c r="J103" s="46" t="s">
        <v>495</v>
      </c>
      <c r="K103" s="17">
        <v>574.33583333333297</v>
      </c>
      <c r="L103" s="17">
        <f t="shared" si="25"/>
        <v>6892.0299999999952</v>
      </c>
      <c r="M103" s="17">
        <f>K103*12</f>
        <v>6892.0299999999952</v>
      </c>
      <c r="N103" s="24" t="s">
        <v>36</v>
      </c>
      <c r="O103" s="39">
        <v>46296</v>
      </c>
    </row>
    <row r="104" spans="1:15" ht="34.5" customHeight="1">
      <c r="A104" s="11" t="s">
        <v>339</v>
      </c>
      <c r="B104" s="36" t="s">
        <v>414</v>
      </c>
      <c r="C104" s="173" t="s">
        <v>496</v>
      </c>
      <c r="D104" s="13" t="s">
        <v>478</v>
      </c>
      <c r="E104" s="14" t="s">
        <v>101</v>
      </c>
      <c r="F104" s="11" t="s">
        <v>497</v>
      </c>
      <c r="G104" s="11" t="s">
        <v>134</v>
      </c>
      <c r="H104" s="13">
        <v>0</v>
      </c>
      <c r="I104" s="22" t="s">
        <v>392</v>
      </c>
      <c r="J104" s="101" t="s">
        <v>105</v>
      </c>
      <c r="K104" s="17">
        <v>4379.25</v>
      </c>
      <c r="L104" s="17">
        <f t="shared" si="25"/>
        <v>52551</v>
      </c>
      <c r="M104" s="38">
        <f>K104*60</f>
        <v>262755</v>
      </c>
      <c r="N104" s="47" t="s">
        <v>44</v>
      </c>
      <c r="O104" s="39">
        <v>47278</v>
      </c>
    </row>
    <row r="105" spans="1:15" ht="34.5" customHeight="1">
      <c r="A105" s="62" t="s">
        <v>339</v>
      </c>
      <c r="B105" s="36" t="s">
        <v>399</v>
      </c>
      <c r="C105" s="11" t="s">
        <v>498</v>
      </c>
      <c r="D105" s="27" t="s">
        <v>499</v>
      </c>
      <c r="E105" s="82" t="s">
        <v>71</v>
      </c>
      <c r="F105" s="11" t="s">
        <v>500</v>
      </c>
      <c r="G105" s="11" t="s">
        <v>41</v>
      </c>
      <c r="H105" s="27">
        <v>0</v>
      </c>
      <c r="I105" s="11" t="s">
        <v>501</v>
      </c>
      <c r="J105" s="102" t="s">
        <v>502</v>
      </c>
      <c r="K105" s="59">
        <v>3721.59</v>
      </c>
      <c r="L105" s="17">
        <f t="shared" si="25"/>
        <v>44659.08</v>
      </c>
      <c r="M105" s="38">
        <f>K105*60</f>
        <v>223295.40000000002</v>
      </c>
      <c r="N105" s="47" t="s">
        <v>363</v>
      </c>
      <c r="O105" s="60">
        <v>46538</v>
      </c>
    </row>
    <row r="106" spans="1:15" ht="34.5" customHeight="1">
      <c r="A106" s="62" t="s">
        <v>339</v>
      </c>
      <c r="B106" s="36" t="s">
        <v>399</v>
      </c>
      <c r="C106" s="11" t="s">
        <v>503</v>
      </c>
      <c r="D106" s="27" t="s">
        <v>499</v>
      </c>
      <c r="E106" s="45" t="s">
        <v>39</v>
      </c>
      <c r="F106" s="11" t="s">
        <v>504</v>
      </c>
      <c r="G106" s="11" t="s">
        <v>41</v>
      </c>
      <c r="H106" s="27">
        <v>0</v>
      </c>
      <c r="I106" s="11" t="s">
        <v>505</v>
      </c>
      <c r="J106" s="102" t="s">
        <v>506</v>
      </c>
      <c r="K106" s="59">
        <v>3796.5524999999998</v>
      </c>
      <c r="L106" s="17">
        <f t="shared" si="25"/>
        <v>45558.63</v>
      </c>
      <c r="M106" s="38">
        <f>K106*60</f>
        <v>227793.15</v>
      </c>
      <c r="N106" s="47" t="s">
        <v>363</v>
      </c>
      <c r="O106" s="60">
        <v>46476</v>
      </c>
    </row>
    <row r="107" spans="1:15" ht="34.5" customHeight="1">
      <c r="A107" s="11" t="s">
        <v>339</v>
      </c>
      <c r="B107" s="26" t="s">
        <v>399</v>
      </c>
      <c r="C107" s="173" t="s">
        <v>507</v>
      </c>
      <c r="D107" s="13" t="s">
        <v>499</v>
      </c>
      <c r="E107" s="14" t="s">
        <v>95</v>
      </c>
      <c r="F107" s="11" t="s">
        <v>508</v>
      </c>
      <c r="G107" s="11" t="s">
        <v>509</v>
      </c>
      <c r="H107" s="13">
        <v>2</v>
      </c>
      <c r="I107" s="11" t="s">
        <v>510</v>
      </c>
      <c r="J107" s="46" t="s">
        <v>257</v>
      </c>
      <c r="K107" s="17">
        <v>7833.92</v>
      </c>
      <c r="L107" s="17">
        <f t="shared" si="25"/>
        <v>94007.040000000008</v>
      </c>
      <c r="M107" s="17">
        <f>K107*12</f>
        <v>94007.040000000008</v>
      </c>
      <c r="N107" s="54" t="s">
        <v>511</v>
      </c>
      <c r="O107" s="182">
        <v>45944</v>
      </c>
    </row>
    <row r="108" spans="1:15" ht="34.5" customHeight="1">
      <c r="A108" s="11" t="s">
        <v>339</v>
      </c>
      <c r="B108" s="36" t="s">
        <v>512</v>
      </c>
      <c r="C108" s="11" t="s">
        <v>513</v>
      </c>
      <c r="D108" s="27" t="s">
        <v>514</v>
      </c>
      <c r="E108" s="14" t="s">
        <v>39</v>
      </c>
      <c r="F108" s="11" t="s">
        <v>515</v>
      </c>
      <c r="G108" s="11" t="s">
        <v>41</v>
      </c>
      <c r="H108" s="27">
        <v>0</v>
      </c>
      <c r="I108" s="12" t="s">
        <v>516</v>
      </c>
      <c r="J108" s="22" t="s">
        <v>517</v>
      </c>
      <c r="K108" s="59">
        <v>27147.64</v>
      </c>
      <c r="L108" s="17">
        <f t="shared" si="25"/>
        <v>325771.68</v>
      </c>
      <c r="M108" s="38">
        <f>K108*60</f>
        <v>1628858.4</v>
      </c>
      <c r="N108" s="52" t="s">
        <v>363</v>
      </c>
      <c r="O108" s="60">
        <v>46538</v>
      </c>
    </row>
    <row r="109" spans="1:15" ht="34.5" customHeight="1">
      <c r="A109" s="64" t="s">
        <v>339</v>
      </c>
      <c r="B109" s="65" t="s">
        <v>512</v>
      </c>
      <c r="C109" s="173" t="s">
        <v>518</v>
      </c>
      <c r="D109" s="66" t="s">
        <v>514</v>
      </c>
      <c r="E109" s="14" t="s">
        <v>95</v>
      </c>
      <c r="F109" s="64" t="s">
        <v>519</v>
      </c>
      <c r="G109" s="35" t="s">
        <v>520</v>
      </c>
      <c r="H109" s="66">
        <v>1</v>
      </c>
      <c r="I109" s="103" t="s">
        <v>521</v>
      </c>
      <c r="J109" s="104" t="s">
        <v>522</v>
      </c>
      <c r="K109" s="105">
        <v>5293.55</v>
      </c>
      <c r="L109" s="17">
        <f t="shared" si="25"/>
        <v>63522.600000000006</v>
      </c>
      <c r="M109" s="38">
        <f>K109*60</f>
        <v>317613</v>
      </c>
      <c r="N109" s="24" t="s">
        <v>44</v>
      </c>
      <c r="O109" s="25">
        <v>47370</v>
      </c>
    </row>
    <row r="110" spans="1:15" ht="34.5" customHeight="1">
      <c r="A110" s="11" t="s">
        <v>339</v>
      </c>
      <c r="B110" s="36" t="s">
        <v>512</v>
      </c>
      <c r="C110" s="172" t="s">
        <v>523</v>
      </c>
      <c r="D110" s="49" t="s">
        <v>514</v>
      </c>
      <c r="E110" s="42" t="s">
        <v>101</v>
      </c>
      <c r="F110" s="35" t="s">
        <v>524</v>
      </c>
      <c r="G110" s="35" t="s">
        <v>134</v>
      </c>
      <c r="H110" s="49">
        <v>0</v>
      </c>
      <c r="I110" s="35" t="s">
        <v>525</v>
      </c>
      <c r="J110" s="101" t="s">
        <v>526</v>
      </c>
      <c r="K110" s="44">
        <v>2061.9166</v>
      </c>
      <c r="L110" s="44">
        <f t="shared" si="25"/>
        <v>24742.999199999998</v>
      </c>
      <c r="M110" s="38">
        <f t="shared" ref="M110:M114" si="26">K110*60</f>
        <v>123714.996</v>
      </c>
      <c r="N110" s="24" t="s">
        <v>44</v>
      </c>
      <c r="O110" s="39">
        <v>47271</v>
      </c>
    </row>
    <row r="111" spans="1:15" ht="34.5" customHeight="1">
      <c r="A111" s="11" t="s">
        <v>339</v>
      </c>
      <c r="B111" s="26" t="s">
        <v>512</v>
      </c>
      <c r="C111" s="11" t="s">
        <v>527</v>
      </c>
      <c r="D111" s="13" t="s">
        <v>528</v>
      </c>
      <c r="E111" s="45" t="s">
        <v>71</v>
      </c>
      <c r="F111" s="11" t="s">
        <v>529</v>
      </c>
      <c r="G111" s="11" t="s">
        <v>41</v>
      </c>
      <c r="H111" s="11">
        <v>0</v>
      </c>
      <c r="I111" s="106" t="s">
        <v>530</v>
      </c>
      <c r="J111" s="23" t="s">
        <v>531</v>
      </c>
      <c r="K111" s="17">
        <v>206.87</v>
      </c>
      <c r="L111" s="17">
        <f t="shared" si="25"/>
        <v>2482.44</v>
      </c>
      <c r="M111" s="38">
        <f t="shared" si="26"/>
        <v>12412.2</v>
      </c>
      <c r="N111" s="24" t="s">
        <v>44</v>
      </c>
      <c r="O111" s="25">
        <v>46657</v>
      </c>
    </row>
    <row r="112" spans="1:15" ht="34.5" customHeight="1">
      <c r="A112" s="11" t="s">
        <v>339</v>
      </c>
      <c r="B112" s="26" t="s">
        <v>512</v>
      </c>
      <c r="C112" s="11" t="s">
        <v>532</v>
      </c>
      <c r="D112" s="13" t="s">
        <v>528</v>
      </c>
      <c r="E112" s="45" t="s">
        <v>71</v>
      </c>
      <c r="F112" s="11" t="s">
        <v>533</v>
      </c>
      <c r="G112" s="11" t="s">
        <v>41</v>
      </c>
      <c r="H112" s="11">
        <v>0</v>
      </c>
      <c r="I112" s="106" t="s">
        <v>530</v>
      </c>
      <c r="J112" s="23" t="s">
        <v>534</v>
      </c>
      <c r="K112" s="17">
        <v>657.01</v>
      </c>
      <c r="L112" s="17">
        <f t="shared" si="25"/>
        <v>7884.12</v>
      </c>
      <c r="M112" s="38">
        <f t="shared" si="26"/>
        <v>39420.6</v>
      </c>
      <c r="N112" s="24" t="s">
        <v>44</v>
      </c>
      <c r="O112" s="25">
        <v>46538</v>
      </c>
    </row>
    <row r="113" spans="1:15" ht="34.5" customHeight="1">
      <c r="A113" s="11" t="s">
        <v>339</v>
      </c>
      <c r="B113" s="26" t="s">
        <v>512</v>
      </c>
      <c r="C113" s="11" t="s">
        <v>535</v>
      </c>
      <c r="D113" s="13" t="s">
        <v>528</v>
      </c>
      <c r="E113" s="45" t="s">
        <v>39</v>
      </c>
      <c r="F113" s="11" t="s">
        <v>536</v>
      </c>
      <c r="G113" s="11" t="s">
        <v>41</v>
      </c>
      <c r="H113" s="11">
        <v>0</v>
      </c>
      <c r="I113" s="12" t="s">
        <v>516</v>
      </c>
      <c r="J113" s="22" t="s">
        <v>517</v>
      </c>
      <c r="K113" s="17">
        <v>1081.44</v>
      </c>
      <c r="L113" s="17">
        <f t="shared" si="25"/>
        <v>12977.28</v>
      </c>
      <c r="M113" s="38">
        <f t="shared" si="26"/>
        <v>64886.400000000001</v>
      </c>
      <c r="N113" s="24" t="s">
        <v>44</v>
      </c>
      <c r="O113" s="25">
        <v>46679</v>
      </c>
    </row>
    <row r="114" spans="1:15" ht="34.5" customHeight="1">
      <c r="A114" s="11" t="s">
        <v>339</v>
      </c>
      <c r="B114" s="26" t="s">
        <v>512</v>
      </c>
      <c r="C114" s="11" t="s">
        <v>537</v>
      </c>
      <c r="D114" s="13" t="s">
        <v>528</v>
      </c>
      <c r="E114" s="45" t="s">
        <v>39</v>
      </c>
      <c r="F114" s="11" t="s">
        <v>538</v>
      </c>
      <c r="G114" s="11" t="s">
        <v>41</v>
      </c>
      <c r="H114" s="11">
        <v>0</v>
      </c>
      <c r="I114" s="12" t="s">
        <v>516</v>
      </c>
      <c r="J114" s="22" t="s">
        <v>539</v>
      </c>
      <c r="K114" s="17">
        <v>1837.8</v>
      </c>
      <c r="L114" s="17">
        <f t="shared" si="25"/>
        <v>22053.599999999999</v>
      </c>
      <c r="M114" s="38">
        <f t="shared" si="26"/>
        <v>110268</v>
      </c>
      <c r="N114" s="24" t="s">
        <v>383</v>
      </c>
      <c r="O114" s="25">
        <v>46508</v>
      </c>
    </row>
    <row r="115" spans="1:15" ht="34.5" customHeight="1">
      <c r="A115" s="11" t="s">
        <v>339</v>
      </c>
      <c r="B115" s="36" t="s">
        <v>512</v>
      </c>
      <c r="C115" s="173" t="s">
        <v>540</v>
      </c>
      <c r="D115" s="13" t="s">
        <v>528</v>
      </c>
      <c r="E115" s="14" t="s">
        <v>95</v>
      </c>
      <c r="F115" s="11" t="s">
        <v>541</v>
      </c>
      <c r="G115" s="11" t="s">
        <v>542</v>
      </c>
      <c r="H115" s="13">
        <v>1</v>
      </c>
      <c r="I115" s="22" t="s">
        <v>452</v>
      </c>
      <c r="J115" s="23" t="s">
        <v>453</v>
      </c>
      <c r="K115" s="17">
        <v>4690.2</v>
      </c>
      <c r="L115" s="17">
        <f t="shared" si="25"/>
        <v>56282.399999999994</v>
      </c>
      <c r="M115" s="17">
        <f>K115*30</f>
        <v>140706</v>
      </c>
      <c r="N115" s="47" t="s">
        <v>51</v>
      </c>
      <c r="O115" s="19">
        <v>46067</v>
      </c>
    </row>
    <row r="116" spans="1:15" ht="34.5" customHeight="1">
      <c r="A116" s="11" t="s">
        <v>339</v>
      </c>
      <c r="B116" s="36" t="s">
        <v>512</v>
      </c>
      <c r="C116" s="173" t="s">
        <v>543</v>
      </c>
      <c r="D116" s="13" t="s">
        <v>528</v>
      </c>
      <c r="E116" s="14" t="s">
        <v>101</v>
      </c>
      <c r="F116" s="11" t="s">
        <v>544</v>
      </c>
      <c r="G116" s="11" t="s">
        <v>134</v>
      </c>
      <c r="H116" s="13">
        <v>0</v>
      </c>
      <c r="I116" s="22" t="s">
        <v>392</v>
      </c>
      <c r="J116" s="101" t="s">
        <v>105</v>
      </c>
      <c r="K116" s="17">
        <v>2509.9160000000002</v>
      </c>
      <c r="L116" s="17">
        <f t="shared" si="25"/>
        <v>30118.992000000002</v>
      </c>
      <c r="M116" s="38">
        <f t="shared" ref="M116" si="27">K116*60</f>
        <v>150594.96000000002</v>
      </c>
      <c r="N116" s="47" t="s">
        <v>44</v>
      </c>
      <c r="O116" s="25">
        <v>47278</v>
      </c>
    </row>
    <row r="117" spans="1:15" ht="34.5" customHeight="1">
      <c r="A117" s="11" t="s">
        <v>339</v>
      </c>
      <c r="B117" s="36" t="s">
        <v>512</v>
      </c>
      <c r="C117" s="173" t="s">
        <v>545</v>
      </c>
      <c r="D117" s="13" t="s">
        <v>528</v>
      </c>
      <c r="E117" s="14" t="s">
        <v>546</v>
      </c>
      <c r="F117" s="11" t="s">
        <v>547</v>
      </c>
      <c r="G117" s="11" t="s">
        <v>548</v>
      </c>
      <c r="H117" s="13">
        <v>0</v>
      </c>
      <c r="I117" s="22" t="s">
        <v>549</v>
      </c>
      <c r="J117" s="23" t="s">
        <v>550</v>
      </c>
      <c r="K117" s="17">
        <v>235678.433333333</v>
      </c>
      <c r="L117" s="17">
        <f t="shared" si="25"/>
        <v>2828141.199999996</v>
      </c>
      <c r="M117" s="17">
        <f>K117*12</f>
        <v>2828141.199999996</v>
      </c>
      <c r="N117" s="47" t="s">
        <v>36</v>
      </c>
      <c r="O117" s="25">
        <v>46018</v>
      </c>
    </row>
    <row r="118" spans="1:15" ht="34.5" customHeight="1">
      <c r="A118" s="11" t="s">
        <v>339</v>
      </c>
      <c r="B118" s="36" t="s">
        <v>425</v>
      </c>
      <c r="C118" s="11" t="s">
        <v>551</v>
      </c>
      <c r="D118" s="13" t="s">
        <v>552</v>
      </c>
      <c r="E118" s="14" t="s">
        <v>71</v>
      </c>
      <c r="F118" s="11" t="s">
        <v>553</v>
      </c>
      <c r="G118" s="11" t="s">
        <v>41</v>
      </c>
      <c r="H118" s="30">
        <v>0</v>
      </c>
      <c r="I118" s="11" t="s">
        <v>554</v>
      </c>
      <c r="J118" s="46" t="s">
        <v>430</v>
      </c>
      <c r="K118" s="17">
        <v>621.55999999999995</v>
      </c>
      <c r="L118" s="17">
        <f t="shared" si="25"/>
        <v>7458.7199999999993</v>
      </c>
      <c r="M118" s="38">
        <f>K118*60</f>
        <v>37293.599999999999</v>
      </c>
      <c r="N118" s="47" t="s">
        <v>363</v>
      </c>
      <c r="O118" s="39">
        <v>46538</v>
      </c>
    </row>
    <row r="119" spans="1:15" ht="34.5" customHeight="1">
      <c r="A119" s="11" t="s">
        <v>339</v>
      </c>
      <c r="B119" s="36" t="s">
        <v>425</v>
      </c>
      <c r="C119" s="11" t="s">
        <v>555</v>
      </c>
      <c r="D119" s="13" t="s">
        <v>552</v>
      </c>
      <c r="E119" s="14" t="s">
        <v>39</v>
      </c>
      <c r="F119" s="11" t="s">
        <v>556</v>
      </c>
      <c r="G119" s="11" t="s">
        <v>41</v>
      </c>
      <c r="H119" s="13">
        <v>0</v>
      </c>
      <c r="I119" s="22" t="s">
        <v>557</v>
      </c>
      <c r="J119" s="46" t="s">
        <v>434</v>
      </c>
      <c r="K119" s="17">
        <v>6444.53</v>
      </c>
      <c r="L119" s="17">
        <f t="shared" si="25"/>
        <v>77334.36</v>
      </c>
      <c r="M119" s="38">
        <f>K119*60</f>
        <v>386671.8</v>
      </c>
      <c r="N119" s="24" t="s">
        <v>363</v>
      </c>
      <c r="O119" s="39">
        <v>46538</v>
      </c>
    </row>
    <row r="120" spans="1:15" ht="34.5" customHeight="1">
      <c r="A120" s="11" t="s">
        <v>339</v>
      </c>
      <c r="B120" s="36" t="s">
        <v>425</v>
      </c>
      <c r="C120" s="173" t="s">
        <v>558</v>
      </c>
      <c r="D120" s="13" t="s">
        <v>552</v>
      </c>
      <c r="E120" s="14" t="s">
        <v>95</v>
      </c>
      <c r="F120" s="11" t="s">
        <v>559</v>
      </c>
      <c r="G120" s="11" t="s">
        <v>560</v>
      </c>
      <c r="H120" s="27">
        <v>1</v>
      </c>
      <c r="I120" s="22" t="s">
        <v>561</v>
      </c>
      <c r="J120" s="74" t="s">
        <v>562</v>
      </c>
      <c r="K120" s="59">
        <v>5586.33</v>
      </c>
      <c r="L120" s="17">
        <f t="shared" si="25"/>
        <v>67035.959999999992</v>
      </c>
      <c r="M120" s="38">
        <f t="shared" ref="M120:M125" si="28">K120*60</f>
        <v>335179.8</v>
      </c>
      <c r="N120" s="24" t="s">
        <v>44</v>
      </c>
      <c r="O120" s="25">
        <v>47426</v>
      </c>
    </row>
    <row r="121" spans="1:15" ht="34.5" customHeight="1">
      <c r="A121" s="11" t="s">
        <v>339</v>
      </c>
      <c r="B121" s="36" t="s">
        <v>425</v>
      </c>
      <c r="C121" s="173" t="s">
        <v>563</v>
      </c>
      <c r="D121" s="13" t="s">
        <v>552</v>
      </c>
      <c r="E121" s="45" t="s">
        <v>101</v>
      </c>
      <c r="F121" s="11" t="s">
        <v>564</v>
      </c>
      <c r="G121" s="11" t="s">
        <v>134</v>
      </c>
      <c r="H121" s="13">
        <v>0</v>
      </c>
      <c r="I121" s="22" t="s">
        <v>392</v>
      </c>
      <c r="J121" s="22" t="s">
        <v>105</v>
      </c>
      <c r="K121" s="17">
        <v>1702.9166</v>
      </c>
      <c r="L121" s="17">
        <f t="shared" si="25"/>
        <v>20434.999199999998</v>
      </c>
      <c r="M121" s="38">
        <f t="shared" si="28"/>
        <v>102174.996</v>
      </c>
      <c r="N121" s="24" t="s">
        <v>44</v>
      </c>
      <c r="O121" s="25">
        <v>47330</v>
      </c>
    </row>
    <row r="122" spans="1:15" ht="34.5" customHeight="1">
      <c r="A122" s="11" t="s">
        <v>339</v>
      </c>
      <c r="B122" s="36" t="s">
        <v>425</v>
      </c>
      <c r="C122" s="11" t="s">
        <v>565</v>
      </c>
      <c r="D122" s="13" t="s">
        <v>566</v>
      </c>
      <c r="E122" s="45" t="s">
        <v>71</v>
      </c>
      <c r="F122" s="11" t="s">
        <v>567</v>
      </c>
      <c r="G122" s="11" t="s">
        <v>41</v>
      </c>
      <c r="H122" s="13">
        <v>1</v>
      </c>
      <c r="I122" s="22" t="s">
        <v>429</v>
      </c>
      <c r="J122" s="74" t="s">
        <v>430</v>
      </c>
      <c r="K122" s="17">
        <v>6032.27</v>
      </c>
      <c r="L122" s="17">
        <f t="shared" si="25"/>
        <v>72387.240000000005</v>
      </c>
      <c r="M122" s="38">
        <f t="shared" si="28"/>
        <v>361936.2</v>
      </c>
      <c r="N122" s="52" t="s">
        <v>363</v>
      </c>
      <c r="O122" s="60">
        <v>46470</v>
      </c>
    </row>
    <row r="123" spans="1:15" ht="34.5" customHeight="1">
      <c r="A123" s="11" t="s">
        <v>339</v>
      </c>
      <c r="B123" s="26" t="s">
        <v>425</v>
      </c>
      <c r="C123" s="11" t="s">
        <v>568</v>
      </c>
      <c r="D123" s="13" t="s">
        <v>566</v>
      </c>
      <c r="E123" s="14" t="s">
        <v>569</v>
      </c>
      <c r="F123" s="11" t="s">
        <v>570</v>
      </c>
      <c r="G123" s="11"/>
      <c r="H123" s="13">
        <v>0</v>
      </c>
      <c r="I123" s="22" t="s">
        <v>571</v>
      </c>
      <c r="J123" s="23" t="s">
        <v>572</v>
      </c>
      <c r="K123" s="17">
        <v>29161.83</v>
      </c>
      <c r="L123" s="17">
        <f t="shared" si="25"/>
        <v>349941.96</v>
      </c>
      <c r="M123" s="17">
        <f>K123*12</f>
        <v>349941.96</v>
      </c>
      <c r="N123" s="47" t="s">
        <v>573</v>
      </c>
      <c r="O123" s="25" t="s">
        <v>80</v>
      </c>
    </row>
    <row r="124" spans="1:15" ht="34.5" customHeight="1">
      <c r="A124" s="11" t="s">
        <v>339</v>
      </c>
      <c r="B124" s="26" t="s">
        <v>425</v>
      </c>
      <c r="C124" s="173" t="s">
        <v>574</v>
      </c>
      <c r="D124" s="13" t="s">
        <v>566</v>
      </c>
      <c r="E124" s="14" t="s">
        <v>575</v>
      </c>
      <c r="F124" s="11" t="s">
        <v>576</v>
      </c>
      <c r="G124" s="108" t="s">
        <v>577</v>
      </c>
      <c r="H124" s="13">
        <v>0</v>
      </c>
      <c r="I124" s="22" t="s">
        <v>578</v>
      </c>
      <c r="J124" s="23" t="s">
        <v>579</v>
      </c>
      <c r="K124" s="17">
        <v>12336.27</v>
      </c>
      <c r="L124" s="17">
        <f t="shared" si="25"/>
        <v>148035.24</v>
      </c>
      <c r="M124" s="38">
        <f t="shared" si="28"/>
        <v>740176.20000000007</v>
      </c>
      <c r="N124" s="47" t="s">
        <v>44</v>
      </c>
      <c r="O124" s="39">
        <v>47294</v>
      </c>
    </row>
    <row r="125" spans="1:15" ht="34.5" customHeight="1">
      <c r="A125" s="11" t="s">
        <v>339</v>
      </c>
      <c r="B125" s="26" t="s">
        <v>425</v>
      </c>
      <c r="C125" s="173" t="s">
        <v>580</v>
      </c>
      <c r="D125" s="13" t="s">
        <v>566</v>
      </c>
      <c r="E125" s="83" t="s">
        <v>95</v>
      </c>
      <c r="F125" s="11" t="s">
        <v>581</v>
      </c>
      <c r="G125" s="11" t="s">
        <v>582</v>
      </c>
      <c r="H125" s="13">
        <v>1</v>
      </c>
      <c r="I125" s="22" t="s">
        <v>487</v>
      </c>
      <c r="J125" s="23" t="s">
        <v>488</v>
      </c>
      <c r="K125" s="17">
        <v>12449.49</v>
      </c>
      <c r="L125" s="17">
        <f t="shared" si="25"/>
        <v>149393.88</v>
      </c>
      <c r="M125" s="38">
        <f t="shared" si="28"/>
        <v>746969.4</v>
      </c>
      <c r="N125" s="47" t="s">
        <v>44</v>
      </c>
      <c r="O125" s="39">
        <v>47369</v>
      </c>
    </row>
    <row r="126" spans="1:15" ht="34.5" customHeight="1">
      <c r="A126" s="11" t="s">
        <v>339</v>
      </c>
      <c r="B126" s="26" t="s">
        <v>425</v>
      </c>
      <c r="C126" s="173" t="s">
        <v>583</v>
      </c>
      <c r="D126" s="13" t="s">
        <v>566</v>
      </c>
      <c r="E126" s="83" t="s">
        <v>150</v>
      </c>
      <c r="F126" s="11" t="s">
        <v>584</v>
      </c>
      <c r="G126" s="11" t="s">
        <v>585</v>
      </c>
      <c r="H126" s="13">
        <v>2</v>
      </c>
      <c r="I126" s="22" t="s">
        <v>586</v>
      </c>
      <c r="J126" s="23" t="s">
        <v>587</v>
      </c>
      <c r="K126" s="17">
        <v>23787.13</v>
      </c>
      <c r="L126" s="17">
        <f t="shared" si="25"/>
        <v>285445.56</v>
      </c>
      <c r="M126" s="17">
        <f>K126*30</f>
        <v>713613.9</v>
      </c>
      <c r="N126" s="109" t="s">
        <v>51</v>
      </c>
      <c r="O126" s="25">
        <v>46147</v>
      </c>
    </row>
    <row r="127" spans="1:15" ht="34.5" customHeight="1">
      <c r="A127" s="11" t="s">
        <v>339</v>
      </c>
      <c r="B127" s="36" t="s">
        <v>340</v>
      </c>
      <c r="C127" s="11" t="s">
        <v>588</v>
      </c>
      <c r="D127" s="27" t="s">
        <v>347</v>
      </c>
      <c r="E127" s="14" t="s">
        <v>71</v>
      </c>
      <c r="F127" s="11" t="s">
        <v>589</v>
      </c>
      <c r="G127" s="11" t="s">
        <v>41</v>
      </c>
      <c r="H127" s="110">
        <v>0</v>
      </c>
      <c r="I127" s="16" t="s">
        <v>590</v>
      </c>
      <c r="J127" s="74" t="s">
        <v>444</v>
      </c>
      <c r="K127" s="59">
        <v>1592.83</v>
      </c>
      <c r="L127" s="17">
        <f t="shared" si="25"/>
        <v>19113.96</v>
      </c>
      <c r="M127" s="38">
        <f t="shared" ref="M127:M128" si="29">K127*60</f>
        <v>95569.799999999988</v>
      </c>
      <c r="N127" s="78" t="s">
        <v>44</v>
      </c>
      <c r="O127" s="111">
        <v>46538</v>
      </c>
    </row>
    <row r="128" spans="1:15" ht="34.5" customHeight="1">
      <c r="A128" s="11" t="s">
        <v>339</v>
      </c>
      <c r="B128" s="36" t="s">
        <v>340</v>
      </c>
      <c r="C128" s="11" t="s">
        <v>591</v>
      </c>
      <c r="D128" s="27" t="s">
        <v>347</v>
      </c>
      <c r="E128" s="14" t="s">
        <v>39</v>
      </c>
      <c r="F128" s="11" t="s">
        <v>592</v>
      </c>
      <c r="G128" s="11" t="s">
        <v>41</v>
      </c>
      <c r="H128" s="27">
        <v>0</v>
      </c>
      <c r="I128" s="22" t="s">
        <v>593</v>
      </c>
      <c r="J128" s="46" t="s">
        <v>448</v>
      </c>
      <c r="K128" s="59">
        <v>24411.24</v>
      </c>
      <c r="L128" s="17">
        <f t="shared" si="25"/>
        <v>292934.88</v>
      </c>
      <c r="M128" s="38">
        <f t="shared" si="29"/>
        <v>1464674.4000000001</v>
      </c>
      <c r="N128" s="47" t="s">
        <v>363</v>
      </c>
      <c r="O128" s="60">
        <v>46538</v>
      </c>
    </row>
    <row r="129" spans="1:15" ht="34.5" customHeight="1">
      <c r="A129" s="11" t="s">
        <v>339</v>
      </c>
      <c r="B129" s="26" t="s">
        <v>340</v>
      </c>
      <c r="C129" s="173" t="s">
        <v>594</v>
      </c>
      <c r="D129" s="27" t="s">
        <v>347</v>
      </c>
      <c r="E129" s="14" t="s">
        <v>95</v>
      </c>
      <c r="F129" s="11" t="s">
        <v>595</v>
      </c>
      <c r="G129" s="11" t="s">
        <v>596</v>
      </c>
      <c r="H129" s="13">
        <v>4</v>
      </c>
      <c r="I129" s="22" t="s">
        <v>375</v>
      </c>
      <c r="J129" s="46" t="s">
        <v>376</v>
      </c>
      <c r="K129" s="17">
        <v>18149.55</v>
      </c>
      <c r="L129" s="17">
        <f t="shared" si="25"/>
        <v>217794.59999999998</v>
      </c>
      <c r="M129" s="17">
        <f>K129*12</f>
        <v>217794.59999999998</v>
      </c>
      <c r="N129" s="24" t="s">
        <v>36</v>
      </c>
      <c r="O129" s="25">
        <v>45944</v>
      </c>
    </row>
    <row r="130" spans="1:15" ht="34.5" customHeight="1">
      <c r="A130" s="11" t="s">
        <v>339</v>
      </c>
      <c r="B130" s="36" t="s">
        <v>340</v>
      </c>
      <c r="C130" s="173" t="s">
        <v>597</v>
      </c>
      <c r="D130" s="13" t="s">
        <v>347</v>
      </c>
      <c r="E130" s="14" t="s">
        <v>598</v>
      </c>
      <c r="F130" s="11" t="s">
        <v>599</v>
      </c>
      <c r="G130" s="11" t="s">
        <v>600</v>
      </c>
      <c r="H130" s="13">
        <v>0</v>
      </c>
      <c r="I130" s="22" t="s">
        <v>601</v>
      </c>
      <c r="J130" s="23" t="s">
        <v>602</v>
      </c>
      <c r="K130" s="17">
        <v>533.16700000000003</v>
      </c>
      <c r="L130" s="17">
        <f t="shared" si="25"/>
        <v>6398.0040000000008</v>
      </c>
      <c r="M130" s="17">
        <f t="shared" ref="M130:M131" si="30">K130*12</f>
        <v>6398.0040000000008</v>
      </c>
      <c r="N130" s="24" t="s">
        <v>36</v>
      </c>
      <c r="O130" s="25">
        <v>46266</v>
      </c>
    </row>
    <row r="131" spans="1:15" ht="34.5" customHeight="1">
      <c r="A131" s="11" t="s">
        <v>339</v>
      </c>
      <c r="B131" s="26" t="s">
        <v>340</v>
      </c>
      <c r="C131" s="173" t="s">
        <v>603</v>
      </c>
      <c r="D131" s="13" t="s">
        <v>347</v>
      </c>
      <c r="E131" s="14" t="s">
        <v>394</v>
      </c>
      <c r="F131" s="11" t="s">
        <v>604</v>
      </c>
      <c r="G131" s="11" t="s">
        <v>605</v>
      </c>
      <c r="H131" s="13">
        <v>0</v>
      </c>
      <c r="I131" s="22" t="s">
        <v>606</v>
      </c>
      <c r="J131" s="23" t="s">
        <v>607</v>
      </c>
      <c r="K131" s="17">
        <v>1470.69</v>
      </c>
      <c r="L131" s="17">
        <f t="shared" si="25"/>
        <v>17648.28</v>
      </c>
      <c r="M131" s="17">
        <f t="shared" si="30"/>
        <v>17648.28</v>
      </c>
      <c r="N131" s="24" t="s">
        <v>36</v>
      </c>
      <c r="O131" s="25">
        <v>46208</v>
      </c>
    </row>
    <row r="132" spans="1:15" ht="34.5" customHeight="1">
      <c r="A132" s="11" t="s">
        <v>339</v>
      </c>
      <c r="B132" s="36" t="s">
        <v>608</v>
      </c>
      <c r="C132" s="11" t="s">
        <v>609</v>
      </c>
      <c r="D132" s="27" t="s">
        <v>610</v>
      </c>
      <c r="E132" s="45" t="s">
        <v>71</v>
      </c>
      <c r="F132" s="11" t="s">
        <v>611</v>
      </c>
      <c r="G132" s="11" t="s">
        <v>41</v>
      </c>
      <c r="H132" s="27">
        <v>0</v>
      </c>
      <c r="I132" s="16" t="s">
        <v>612</v>
      </c>
      <c r="J132" s="74" t="s">
        <v>613</v>
      </c>
      <c r="K132" s="59">
        <v>5978.97</v>
      </c>
      <c r="L132" s="17">
        <f t="shared" si="25"/>
        <v>71747.64</v>
      </c>
      <c r="M132" s="38">
        <f>K132*60</f>
        <v>358738.2</v>
      </c>
      <c r="N132" s="24" t="s">
        <v>363</v>
      </c>
      <c r="O132" s="112">
        <v>46597</v>
      </c>
    </row>
    <row r="133" spans="1:15" ht="34.5" customHeight="1">
      <c r="A133" s="11" t="s">
        <v>339</v>
      </c>
      <c r="B133" s="36" t="s">
        <v>608</v>
      </c>
      <c r="C133" s="11" t="s">
        <v>614</v>
      </c>
      <c r="D133" s="27" t="s">
        <v>610</v>
      </c>
      <c r="E133" s="45" t="s">
        <v>39</v>
      </c>
      <c r="F133" s="11" t="s">
        <v>615</v>
      </c>
      <c r="G133" s="11" t="s">
        <v>41</v>
      </c>
      <c r="H133" s="27">
        <v>0</v>
      </c>
      <c r="I133" s="16" t="s">
        <v>616</v>
      </c>
      <c r="J133" s="74" t="s">
        <v>617</v>
      </c>
      <c r="K133" s="59">
        <v>17105.38</v>
      </c>
      <c r="L133" s="17">
        <f t="shared" si="25"/>
        <v>205264.56</v>
      </c>
      <c r="M133" s="38">
        <f>K133*60</f>
        <v>1026322.8</v>
      </c>
      <c r="N133" s="24" t="s">
        <v>363</v>
      </c>
      <c r="O133" s="112">
        <v>46538</v>
      </c>
    </row>
    <row r="134" spans="1:15" ht="34.5" customHeight="1">
      <c r="A134" s="11" t="s">
        <v>339</v>
      </c>
      <c r="B134" s="36" t="s">
        <v>608</v>
      </c>
      <c r="C134" s="173" t="s">
        <v>618</v>
      </c>
      <c r="D134" s="27" t="s">
        <v>610</v>
      </c>
      <c r="E134" s="14" t="s">
        <v>101</v>
      </c>
      <c r="F134" s="11" t="s">
        <v>619</v>
      </c>
      <c r="G134" s="11" t="s">
        <v>620</v>
      </c>
      <c r="H134" s="27">
        <v>0</v>
      </c>
      <c r="I134" s="16" t="s">
        <v>621</v>
      </c>
      <c r="J134" s="16" t="s">
        <v>622</v>
      </c>
      <c r="K134" s="59">
        <v>6897.5</v>
      </c>
      <c r="L134" s="17">
        <f t="shared" si="25"/>
        <v>82770</v>
      </c>
      <c r="M134" s="17">
        <f>K134*60</f>
        <v>413850</v>
      </c>
      <c r="N134" s="54" t="s">
        <v>44</v>
      </c>
      <c r="O134" s="113">
        <v>47595</v>
      </c>
    </row>
    <row r="135" spans="1:15" ht="34.5" customHeight="1">
      <c r="A135" s="11" t="s">
        <v>339</v>
      </c>
      <c r="B135" s="36" t="s">
        <v>454</v>
      </c>
      <c r="C135" s="173" t="s">
        <v>623</v>
      </c>
      <c r="D135" s="27" t="s">
        <v>624</v>
      </c>
      <c r="E135" s="14" t="s">
        <v>95</v>
      </c>
      <c r="F135" s="11" t="s">
        <v>625</v>
      </c>
      <c r="G135" s="11" t="s">
        <v>626</v>
      </c>
      <c r="H135" s="27">
        <v>1</v>
      </c>
      <c r="I135" s="16" t="s">
        <v>627</v>
      </c>
      <c r="J135" s="16" t="s">
        <v>628</v>
      </c>
      <c r="K135" s="59">
        <v>6032.21</v>
      </c>
      <c r="L135" s="17">
        <f t="shared" si="25"/>
        <v>72386.52</v>
      </c>
      <c r="M135" s="17">
        <f>K135*30</f>
        <v>180966.3</v>
      </c>
      <c r="N135" s="47" t="s">
        <v>51</v>
      </c>
      <c r="O135" s="25">
        <v>46261</v>
      </c>
    </row>
    <row r="136" spans="1:15" ht="34.5" customHeight="1">
      <c r="A136" s="11" t="s">
        <v>339</v>
      </c>
      <c r="B136" s="36" t="s">
        <v>454</v>
      </c>
      <c r="C136" s="11" t="s">
        <v>629</v>
      </c>
      <c r="D136" s="27" t="s">
        <v>624</v>
      </c>
      <c r="E136" s="14" t="s">
        <v>71</v>
      </c>
      <c r="F136" s="11" t="s">
        <v>630</v>
      </c>
      <c r="G136" s="11" t="s">
        <v>41</v>
      </c>
      <c r="H136" s="27">
        <v>0</v>
      </c>
      <c r="I136" s="16" t="s">
        <v>631</v>
      </c>
      <c r="J136" s="16" t="s">
        <v>632</v>
      </c>
      <c r="K136" s="55">
        <v>355.15</v>
      </c>
      <c r="L136" s="17">
        <f t="shared" si="25"/>
        <v>4261.7999999999993</v>
      </c>
      <c r="M136" s="17">
        <f>K136*60</f>
        <v>21309</v>
      </c>
      <c r="N136" s="47" t="s">
        <v>44</v>
      </c>
      <c r="O136" s="25">
        <v>46538</v>
      </c>
    </row>
    <row r="137" spans="1:15" ht="34.5" customHeight="1">
      <c r="A137" s="11" t="s">
        <v>339</v>
      </c>
      <c r="B137" s="36" t="s">
        <v>454</v>
      </c>
      <c r="C137" s="11" t="s">
        <v>633</v>
      </c>
      <c r="D137" s="27" t="s">
        <v>624</v>
      </c>
      <c r="E137" s="14" t="s">
        <v>39</v>
      </c>
      <c r="F137" s="11" t="s">
        <v>634</v>
      </c>
      <c r="G137" s="11" t="s">
        <v>41</v>
      </c>
      <c r="H137" s="27">
        <v>0</v>
      </c>
      <c r="I137" s="16" t="s">
        <v>635</v>
      </c>
      <c r="J137" s="16" t="s">
        <v>459</v>
      </c>
      <c r="K137" s="55">
        <v>2863.41</v>
      </c>
      <c r="L137" s="17">
        <f t="shared" si="25"/>
        <v>34360.92</v>
      </c>
      <c r="M137" s="17">
        <f>K137*60</f>
        <v>171804.59999999998</v>
      </c>
      <c r="N137" s="47" t="s">
        <v>44</v>
      </c>
      <c r="O137" s="25">
        <v>46725</v>
      </c>
    </row>
    <row r="138" spans="1:15" ht="34.5" customHeight="1">
      <c r="A138" s="11" t="s">
        <v>339</v>
      </c>
      <c r="B138" s="36" t="s">
        <v>454</v>
      </c>
      <c r="C138" s="173" t="s">
        <v>636</v>
      </c>
      <c r="D138" s="27" t="s">
        <v>624</v>
      </c>
      <c r="E138" s="14" t="s">
        <v>101</v>
      </c>
      <c r="F138" s="11" t="s">
        <v>637</v>
      </c>
      <c r="G138" s="11" t="s">
        <v>134</v>
      </c>
      <c r="H138" s="27">
        <v>0</v>
      </c>
      <c r="I138" s="16" t="s">
        <v>638</v>
      </c>
      <c r="J138" s="16" t="s">
        <v>639</v>
      </c>
      <c r="K138" s="55">
        <v>2160.6799999999998</v>
      </c>
      <c r="L138" s="17">
        <f t="shared" si="25"/>
        <v>25928.159999999996</v>
      </c>
      <c r="M138" s="38">
        <f t="shared" ref="M138" si="31">K138*60</f>
        <v>129640.79999999999</v>
      </c>
      <c r="N138" s="54" t="s">
        <v>44</v>
      </c>
      <c r="O138" s="25">
        <v>47285</v>
      </c>
    </row>
    <row r="139" spans="1:15" ht="34.5" customHeight="1">
      <c r="A139" s="11" t="s">
        <v>339</v>
      </c>
      <c r="B139" s="36" t="s">
        <v>640</v>
      </c>
      <c r="C139" s="11" t="s">
        <v>641</v>
      </c>
      <c r="D139" s="13" t="s">
        <v>642</v>
      </c>
      <c r="E139" s="45" t="s">
        <v>71</v>
      </c>
      <c r="F139" s="11" t="s">
        <v>643</v>
      </c>
      <c r="G139" s="11" t="s">
        <v>41</v>
      </c>
      <c r="H139" s="13">
        <v>0</v>
      </c>
      <c r="I139" s="11" t="s">
        <v>644</v>
      </c>
      <c r="J139" s="46" t="s">
        <v>645</v>
      </c>
      <c r="K139" s="17">
        <v>1970.28</v>
      </c>
      <c r="L139" s="17">
        <f t="shared" si="25"/>
        <v>23643.360000000001</v>
      </c>
      <c r="M139" s="38">
        <f t="shared" ref="M139:M140" si="32">K139*60</f>
        <v>118216.8</v>
      </c>
      <c r="N139" s="52" t="s">
        <v>363</v>
      </c>
      <c r="O139" s="25">
        <v>46538</v>
      </c>
    </row>
    <row r="140" spans="1:15" ht="34.5" customHeight="1">
      <c r="A140" s="11" t="s">
        <v>339</v>
      </c>
      <c r="B140" s="36" t="s">
        <v>640</v>
      </c>
      <c r="C140" s="11" t="s">
        <v>646</v>
      </c>
      <c r="D140" s="13" t="s">
        <v>642</v>
      </c>
      <c r="E140" s="45" t="s">
        <v>39</v>
      </c>
      <c r="F140" s="11" t="s">
        <v>647</v>
      </c>
      <c r="G140" s="11" t="s">
        <v>41</v>
      </c>
      <c r="H140" s="13">
        <v>0</v>
      </c>
      <c r="I140" s="11" t="s">
        <v>648</v>
      </c>
      <c r="J140" s="46" t="s">
        <v>649</v>
      </c>
      <c r="K140" s="17">
        <v>3489.65</v>
      </c>
      <c r="L140" s="17">
        <f t="shared" si="25"/>
        <v>41875.800000000003</v>
      </c>
      <c r="M140" s="38">
        <f t="shared" si="32"/>
        <v>209379</v>
      </c>
      <c r="N140" s="24" t="s">
        <v>363</v>
      </c>
      <c r="O140" s="25">
        <v>46533</v>
      </c>
    </row>
    <row r="141" spans="1:15" ht="34.5" customHeight="1">
      <c r="A141" s="11" t="s">
        <v>339</v>
      </c>
      <c r="B141" s="36" t="s">
        <v>640</v>
      </c>
      <c r="C141" s="173" t="s">
        <v>650</v>
      </c>
      <c r="D141" s="27" t="s">
        <v>642</v>
      </c>
      <c r="E141" s="14" t="s">
        <v>95</v>
      </c>
      <c r="F141" s="11" t="s">
        <v>651</v>
      </c>
      <c r="G141" s="11" t="s">
        <v>652</v>
      </c>
      <c r="H141" s="13">
        <v>1</v>
      </c>
      <c r="I141" s="11" t="s">
        <v>375</v>
      </c>
      <c r="J141" s="11" t="s">
        <v>376</v>
      </c>
      <c r="K141" s="53">
        <v>5139.0200000000004</v>
      </c>
      <c r="L141" s="17">
        <f t="shared" si="25"/>
        <v>61668.240000000005</v>
      </c>
      <c r="M141" s="17">
        <f t="shared" ref="M141:M145" si="33">K141*12</f>
        <v>61668.240000000005</v>
      </c>
      <c r="N141" s="47" t="s">
        <v>36</v>
      </c>
      <c r="O141" s="25">
        <v>46145</v>
      </c>
    </row>
    <row r="142" spans="1:15" ht="34.5" customHeight="1">
      <c r="A142" s="11" t="s">
        <v>339</v>
      </c>
      <c r="B142" s="36" t="s">
        <v>640</v>
      </c>
      <c r="C142" s="173" t="s">
        <v>653</v>
      </c>
      <c r="D142" s="13" t="s">
        <v>642</v>
      </c>
      <c r="E142" s="45" t="s">
        <v>101</v>
      </c>
      <c r="F142" s="11" t="s">
        <v>654</v>
      </c>
      <c r="G142" s="11" t="s">
        <v>620</v>
      </c>
      <c r="H142" s="13">
        <v>0</v>
      </c>
      <c r="I142" s="11" t="s">
        <v>655</v>
      </c>
      <c r="J142" s="11" t="s">
        <v>656</v>
      </c>
      <c r="K142" s="17">
        <v>4517.3975</v>
      </c>
      <c r="L142" s="17">
        <f t="shared" si="25"/>
        <v>54208.770000000004</v>
      </c>
      <c r="M142" s="17">
        <f>K142*60</f>
        <v>271043.84999999998</v>
      </c>
      <c r="N142" s="47" t="s">
        <v>44</v>
      </c>
      <c r="O142" s="39">
        <v>47533</v>
      </c>
    </row>
    <row r="143" spans="1:15" ht="34.5" customHeight="1">
      <c r="A143" s="11" t="s">
        <v>339</v>
      </c>
      <c r="B143" s="36" t="s">
        <v>640</v>
      </c>
      <c r="C143" s="173" t="s">
        <v>657</v>
      </c>
      <c r="D143" s="13" t="s">
        <v>642</v>
      </c>
      <c r="E143" s="14" t="s">
        <v>394</v>
      </c>
      <c r="F143" s="11" t="s">
        <v>658</v>
      </c>
      <c r="G143" s="11" t="s">
        <v>659</v>
      </c>
      <c r="H143" s="13">
        <v>0</v>
      </c>
      <c r="I143" s="22" t="s">
        <v>660</v>
      </c>
      <c r="J143" s="22" t="s">
        <v>661</v>
      </c>
      <c r="K143" s="17">
        <v>1700</v>
      </c>
      <c r="L143" s="17">
        <f t="shared" si="25"/>
        <v>20400</v>
      </c>
      <c r="M143" s="17">
        <f t="shared" si="33"/>
        <v>20400</v>
      </c>
      <c r="N143" s="47" t="s">
        <v>36</v>
      </c>
      <c r="O143" s="39">
        <v>46112</v>
      </c>
    </row>
    <row r="144" spans="1:15" ht="34.5" customHeight="1">
      <c r="A144" s="11" t="s">
        <v>339</v>
      </c>
      <c r="B144" s="36" t="s">
        <v>640</v>
      </c>
      <c r="C144" s="173" t="s">
        <v>662</v>
      </c>
      <c r="D144" s="13" t="s">
        <v>642</v>
      </c>
      <c r="E144" s="14" t="s">
        <v>114</v>
      </c>
      <c r="F144" s="11" t="s">
        <v>663</v>
      </c>
      <c r="G144" s="11" t="s">
        <v>664</v>
      </c>
      <c r="H144" s="13">
        <v>1</v>
      </c>
      <c r="I144" s="11" t="s">
        <v>665</v>
      </c>
      <c r="J144" s="46" t="s">
        <v>666</v>
      </c>
      <c r="K144" s="158">
        <v>11423.18</v>
      </c>
      <c r="L144" s="17">
        <f t="shared" si="25"/>
        <v>137078.16</v>
      </c>
      <c r="M144" s="17">
        <f t="shared" si="33"/>
        <v>137078.16</v>
      </c>
      <c r="N144" s="47" t="s">
        <v>36</v>
      </c>
      <c r="O144" s="25">
        <v>46264</v>
      </c>
    </row>
    <row r="145" spans="1:15" ht="34.5" customHeight="1">
      <c r="A145" s="62" t="s">
        <v>339</v>
      </c>
      <c r="B145" s="36" t="s">
        <v>356</v>
      </c>
      <c r="C145" s="173" t="s">
        <v>667</v>
      </c>
      <c r="D145" s="13" t="s">
        <v>668</v>
      </c>
      <c r="E145" s="14" t="s">
        <v>669</v>
      </c>
      <c r="F145" s="11" t="s">
        <v>670</v>
      </c>
      <c r="G145" s="11" t="s">
        <v>671</v>
      </c>
      <c r="H145" s="13">
        <v>0</v>
      </c>
      <c r="I145" s="22" t="s">
        <v>672</v>
      </c>
      <c r="J145" s="23" t="s">
        <v>673</v>
      </c>
      <c r="K145" s="107">
        <v>19339.189999999999</v>
      </c>
      <c r="L145" s="17">
        <f t="shared" si="25"/>
        <v>232070.27999999997</v>
      </c>
      <c r="M145" s="17">
        <f t="shared" si="33"/>
        <v>232070.27999999997</v>
      </c>
      <c r="N145" s="114" t="s">
        <v>36</v>
      </c>
      <c r="O145" s="25">
        <v>46241</v>
      </c>
    </row>
    <row r="146" spans="1:15" ht="34.5" customHeight="1">
      <c r="A146" s="11" t="s">
        <v>339</v>
      </c>
      <c r="B146" s="36" t="s">
        <v>340</v>
      </c>
      <c r="C146" s="11" t="s">
        <v>440</v>
      </c>
      <c r="D146" s="13" t="s">
        <v>348</v>
      </c>
      <c r="E146" s="14" t="s">
        <v>71</v>
      </c>
      <c r="F146" s="11" t="s">
        <v>442</v>
      </c>
      <c r="G146" s="11" t="s">
        <v>41</v>
      </c>
      <c r="H146" s="13">
        <v>0</v>
      </c>
      <c r="I146" s="22" t="s">
        <v>674</v>
      </c>
      <c r="J146" s="22" t="s">
        <v>444</v>
      </c>
      <c r="K146" s="17">
        <v>369.73</v>
      </c>
      <c r="L146" s="17">
        <f t="shared" si="25"/>
        <v>4436.76</v>
      </c>
      <c r="M146" s="38">
        <f t="shared" ref="M146:M147" si="34">K146*60</f>
        <v>22183.800000000003</v>
      </c>
      <c r="N146" s="24" t="s">
        <v>363</v>
      </c>
      <c r="O146" s="25">
        <v>46657</v>
      </c>
    </row>
    <row r="147" spans="1:15" ht="34.5" customHeight="1">
      <c r="A147" s="11" t="s">
        <v>339</v>
      </c>
      <c r="B147" s="36" t="s">
        <v>340</v>
      </c>
      <c r="C147" s="11" t="s">
        <v>675</v>
      </c>
      <c r="D147" s="13" t="s">
        <v>348</v>
      </c>
      <c r="E147" s="14" t="s">
        <v>39</v>
      </c>
      <c r="F147" s="11" t="s">
        <v>676</v>
      </c>
      <c r="G147" s="11" t="s">
        <v>41</v>
      </c>
      <c r="H147" s="13">
        <v>0</v>
      </c>
      <c r="I147" s="22" t="s">
        <v>593</v>
      </c>
      <c r="J147" s="23" t="s">
        <v>677</v>
      </c>
      <c r="K147" s="17">
        <v>2671.03</v>
      </c>
      <c r="L147" s="17">
        <f t="shared" si="25"/>
        <v>32052.36</v>
      </c>
      <c r="M147" s="38">
        <f t="shared" si="34"/>
        <v>160261.80000000002</v>
      </c>
      <c r="N147" s="52" t="s">
        <v>363</v>
      </c>
      <c r="O147" s="25">
        <v>46538</v>
      </c>
    </row>
    <row r="148" spans="1:15" ht="34.5" customHeight="1">
      <c r="A148" s="11" t="s">
        <v>339</v>
      </c>
      <c r="B148" s="26" t="s">
        <v>340</v>
      </c>
      <c r="C148" s="173" t="s">
        <v>678</v>
      </c>
      <c r="D148" s="27" t="s">
        <v>348</v>
      </c>
      <c r="E148" s="14" t="s">
        <v>95</v>
      </c>
      <c r="F148" s="22" t="s">
        <v>679</v>
      </c>
      <c r="G148" s="11" t="s">
        <v>680</v>
      </c>
      <c r="H148" s="27">
        <v>1</v>
      </c>
      <c r="I148" s="16" t="s">
        <v>467</v>
      </c>
      <c r="J148" s="74" t="s">
        <v>468</v>
      </c>
      <c r="K148" s="17">
        <v>4083.53</v>
      </c>
      <c r="L148" s="17">
        <f t="shared" si="25"/>
        <v>49002.36</v>
      </c>
      <c r="M148" s="17">
        <f>K148*12</f>
        <v>49002.36</v>
      </c>
      <c r="N148" s="52" t="s">
        <v>36</v>
      </c>
      <c r="O148" s="60">
        <v>46295</v>
      </c>
    </row>
    <row r="149" spans="1:15" ht="34.5" customHeight="1">
      <c r="A149" s="11" t="s">
        <v>681</v>
      </c>
      <c r="B149" s="36" t="s">
        <v>682</v>
      </c>
      <c r="C149" s="173" t="s">
        <v>683</v>
      </c>
      <c r="D149" s="13" t="s">
        <v>684</v>
      </c>
      <c r="E149" s="14" t="s">
        <v>114</v>
      </c>
      <c r="F149" s="11" t="s">
        <v>685</v>
      </c>
      <c r="G149" s="11" t="s">
        <v>686</v>
      </c>
      <c r="H149" s="13">
        <v>4</v>
      </c>
      <c r="I149" s="22" t="s">
        <v>687</v>
      </c>
      <c r="J149" s="22" t="s">
        <v>688</v>
      </c>
      <c r="K149" s="17">
        <v>12513.03</v>
      </c>
      <c r="L149" s="17">
        <f t="shared" ref="L149:L172" si="35">K149*12</f>
        <v>150156.36000000002</v>
      </c>
      <c r="M149" s="17">
        <f>K149*30</f>
        <v>375390.9</v>
      </c>
      <c r="N149" s="117" t="s">
        <v>51</v>
      </c>
      <c r="O149" s="25">
        <v>46775</v>
      </c>
    </row>
    <row r="150" spans="1:15" ht="34.5" customHeight="1">
      <c r="A150" s="11" t="s">
        <v>681</v>
      </c>
      <c r="B150" s="36" t="s">
        <v>682</v>
      </c>
      <c r="C150" s="173" t="s">
        <v>683</v>
      </c>
      <c r="D150" s="13" t="s">
        <v>689</v>
      </c>
      <c r="E150" s="14" t="s">
        <v>114</v>
      </c>
      <c r="F150" s="11" t="s">
        <v>685</v>
      </c>
      <c r="G150" s="11" t="s">
        <v>686</v>
      </c>
      <c r="H150" s="13">
        <v>4</v>
      </c>
      <c r="I150" s="22" t="s">
        <v>687</v>
      </c>
      <c r="J150" s="22" t="s">
        <v>688</v>
      </c>
      <c r="K150" s="17">
        <v>24402.54</v>
      </c>
      <c r="L150" s="17">
        <f t="shared" si="35"/>
        <v>292830.48</v>
      </c>
      <c r="M150" s="17">
        <f>K150*30</f>
        <v>732076.20000000007</v>
      </c>
      <c r="N150" s="117" t="s">
        <v>51</v>
      </c>
      <c r="O150" s="25">
        <v>46775</v>
      </c>
    </row>
    <row r="151" spans="1:15" ht="34.5" customHeight="1">
      <c r="A151" s="11" t="s">
        <v>681</v>
      </c>
      <c r="B151" s="36" t="s">
        <v>682</v>
      </c>
      <c r="C151" s="173" t="s">
        <v>683</v>
      </c>
      <c r="D151" s="13" t="s">
        <v>690</v>
      </c>
      <c r="E151" s="14" t="s">
        <v>114</v>
      </c>
      <c r="F151" s="11" t="s">
        <v>685</v>
      </c>
      <c r="G151" s="11" t="s">
        <v>686</v>
      </c>
      <c r="H151" s="13">
        <v>4</v>
      </c>
      <c r="I151" s="22" t="s">
        <v>687</v>
      </c>
      <c r="J151" s="22" t="s">
        <v>688</v>
      </c>
      <c r="K151" s="17">
        <v>12222</v>
      </c>
      <c r="L151" s="17">
        <f t="shared" si="35"/>
        <v>146664</v>
      </c>
      <c r="M151" s="17">
        <f>K151*30</f>
        <v>366660</v>
      </c>
      <c r="N151" s="117" t="s">
        <v>51</v>
      </c>
      <c r="O151" s="25">
        <v>46775</v>
      </c>
    </row>
    <row r="152" spans="1:15" ht="34.5" customHeight="1">
      <c r="A152" s="11" t="s">
        <v>681</v>
      </c>
      <c r="B152" s="26" t="s">
        <v>691</v>
      </c>
      <c r="C152" s="11" t="s">
        <v>692</v>
      </c>
      <c r="D152" s="27" t="s">
        <v>693</v>
      </c>
      <c r="E152" s="45" t="s">
        <v>71</v>
      </c>
      <c r="F152" s="11" t="s">
        <v>694</v>
      </c>
      <c r="G152" s="11" t="s">
        <v>41</v>
      </c>
      <c r="H152" s="27">
        <v>0</v>
      </c>
      <c r="I152" s="73" t="s">
        <v>695</v>
      </c>
      <c r="J152" s="46" t="s">
        <v>696</v>
      </c>
      <c r="K152" s="53">
        <v>303.02</v>
      </c>
      <c r="L152" s="17">
        <f t="shared" si="35"/>
        <v>3636.24</v>
      </c>
      <c r="M152" s="38">
        <f t="shared" ref="M152:M156" si="36">K152*60</f>
        <v>18181.199999999997</v>
      </c>
      <c r="N152" s="24" t="s">
        <v>44</v>
      </c>
      <c r="O152" s="60">
        <v>46537</v>
      </c>
    </row>
    <row r="153" spans="1:15" ht="34.5" customHeight="1">
      <c r="A153" s="11" t="s">
        <v>681</v>
      </c>
      <c r="B153" s="36" t="s">
        <v>691</v>
      </c>
      <c r="C153" s="173" t="s">
        <v>697</v>
      </c>
      <c r="D153" s="13" t="s">
        <v>693</v>
      </c>
      <c r="E153" s="14" t="s">
        <v>101</v>
      </c>
      <c r="F153" s="11" t="s">
        <v>698</v>
      </c>
      <c r="G153" s="11" t="s">
        <v>699</v>
      </c>
      <c r="H153" s="13">
        <v>0</v>
      </c>
      <c r="I153" s="15" t="s">
        <v>700</v>
      </c>
      <c r="J153" s="63" t="s">
        <v>105</v>
      </c>
      <c r="K153" s="53">
        <v>1633.58</v>
      </c>
      <c r="L153" s="17">
        <f t="shared" si="35"/>
        <v>19602.96</v>
      </c>
      <c r="M153" s="38">
        <v>96530</v>
      </c>
      <c r="N153" s="118" t="s">
        <v>44</v>
      </c>
      <c r="O153" s="25">
        <v>47313</v>
      </c>
    </row>
    <row r="154" spans="1:15" ht="34.5" customHeight="1">
      <c r="A154" s="11" t="s">
        <v>681</v>
      </c>
      <c r="B154" s="36" t="s">
        <v>691</v>
      </c>
      <c r="C154" s="11" t="s">
        <v>701</v>
      </c>
      <c r="D154" s="13" t="s">
        <v>693</v>
      </c>
      <c r="E154" s="14" t="s">
        <v>39</v>
      </c>
      <c r="F154" s="11" t="s">
        <v>702</v>
      </c>
      <c r="G154" s="11" t="s">
        <v>41</v>
      </c>
      <c r="H154" s="13">
        <v>0</v>
      </c>
      <c r="I154" s="15" t="s">
        <v>703</v>
      </c>
      <c r="J154" s="63" t="s">
        <v>704</v>
      </c>
      <c r="K154" s="53">
        <v>4037.38</v>
      </c>
      <c r="L154" s="17">
        <f t="shared" si="35"/>
        <v>48448.56</v>
      </c>
      <c r="M154" s="38">
        <f t="shared" si="36"/>
        <v>242242.80000000002</v>
      </c>
      <c r="N154" s="118" t="s">
        <v>44</v>
      </c>
      <c r="O154" s="25">
        <v>46537</v>
      </c>
    </row>
    <row r="155" spans="1:15" ht="34.5" customHeight="1">
      <c r="A155" s="11" t="s">
        <v>681</v>
      </c>
      <c r="B155" s="36" t="s">
        <v>691</v>
      </c>
      <c r="C155" s="173" t="s">
        <v>705</v>
      </c>
      <c r="D155" s="13" t="s">
        <v>693</v>
      </c>
      <c r="E155" s="14" t="s">
        <v>95</v>
      </c>
      <c r="F155" s="11" t="s">
        <v>706</v>
      </c>
      <c r="G155" s="11" t="s">
        <v>707</v>
      </c>
      <c r="H155" s="13">
        <v>0</v>
      </c>
      <c r="I155" s="15" t="s">
        <v>98</v>
      </c>
      <c r="J155" s="63" t="s">
        <v>99</v>
      </c>
      <c r="K155" s="53">
        <v>5296.44</v>
      </c>
      <c r="L155" s="17">
        <f t="shared" si="35"/>
        <v>63557.279999999999</v>
      </c>
      <c r="M155" s="38">
        <f>K155*12</f>
        <v>63557.279999999999</v>
      </c>
      <c r="N155" s="118" t="s">
        <v>36</v>
      </c>
      <c r="O155" s="25">
        <v>46862</v>
      </c>
    </row>
    <row r="156" spans="1:15" ht="34.5" customHeight="1">
      <c r="A156" s="11" t="s">
        <v>681</v>
      </c>
      <c r="B156" s="36" t="s">
        <v>691</v>
      </c>
      <c r="C156" s="11" t="s">
        <v>708</v>
      </c>
      <c r="D156" s="119" t="s">
        <v>709</v>
      </c>
      <c r="E156" s="14" t="s">
        <v>39</v>
      </c>
      <c r="F156" s="11" t="s">
        <v>710</v>
      </c>
      <c r="G156" s="11" t="s">
        <v>41</v>
      </c>
      <c r="H156" s="27">
        <v>0</v>
      </c>
      <c r="I156" s="16" t="s">
        <v>711</v>
      </c>
      <c r="J156" s="11" t="s">
        <v>712</v>
      </c>
      <c r="K156" s="59">
        <v>4322.76</v>
      </c>
      <c r="L156" s="17">
        <f t="shared" si="35"/>
        <v>51873.120000000003</v>
      </c>
      <c r="M156" s="38">
        <f t="shared" si="36"/>
        <v>259365.6</v>
      </c>
      <c r="N156" s="52" t="s">
        <v>44</v>
      </c>
      <c r="O156" s="60">
        <v>46477</v>
      </c>
    </row>
    <row r="157" spans="1:15" ht="34.5" customHeight="1">
      <c r="A157" s="11" t="s">
        <v>681</v>
      </c>
      <c r="B157" s="36" t="s">
        <v>691</v>
      </c>
      <c r="C157" s="173" t="s">
        <v>713</v>
      </c>
      <c r="D157" s="13" t="s">
        <v>709</v>
      </c>
      <c r="E157" s="14" t="s">
        <v>95</v>
      </c>
      <c r="F157" s="11" t="s">
        <v>714</v>
      </c>
      <c r="G157" s="11" t="s">
        <v>715</v>
      </c>
      <c r="H157" s="13">
        <v>1</v>
      </c>
      <c r="I157" s="22" t="s">
        <v>98</v>
      </c>
      <c r="J157" s="22" t="s">
        <v>99</v>
      </c>
      <c r="K157" s="17">
        <v>5197.1499999999996</v>
      </c>
      <c r="L157" s="17">
        <f t="shared" si="35"/>
        <v>62365.799999999996</v>
      </c>
      <c r="M157" s="38">
        <f>K157*30</f>
        <v>155914.5</v>
      </c>
      <c r="N157" s="52" t="s">
        <v>51</v>
      </c>
      <c r="O157" s="25">
        <v>46897</v>
      </c>
    </row>
    <row r="158" spans="1:15" ht="34.5" customHeight="1">
      <c r="A158" s="11" t="s">
        <v>681</v>
      </c>
      <c r="B158" s="36" t="s">
        <v>716</v>
      </c>
      <c r="C158" s="11" t="s">
        <v>717</v>
      </c>
      <c r="D158" s="13" t="s">
        <v>718</v>
      </c>
      <c r="E158" s="45" t="s">
        <v>71</v>
      </c>
      <c r="F158" s="11" t="s">
        <v>719</v>
      </c>
      <c r="G158" s="11" t="s">
        <v>41</v>
      </c>
      <c r="H158" s="13">
        <v>0</v>
      </c>
      <c r="I158" s="11" t="s">
        <v>720</v>
      </c>
      <c r="J158" s="11" t="s">
        <v>721</v>
      </c>
      <c r="K158" s="17">
        <v>310.27999999999997</v>
      </c>
      <c r="L158" s="17">
        <f t="shared" si="35"/>
        <v>3723.3599999999997</v>
      </c>
      <c r="M158" s="38">
        <f t="shared" ref="M158:M159" si="37">K158*60</f>
        <v>18616.8</v>
      </c>
      <c r="N158" s="47" t="s">
        <v>44</v>
      </c>
      <c r="O158" s="39">
        <v>46533</v>
      </c>
    </row>
    <row r="159" spans="1:15" ht="34.5" customHeight="1">
      <c r="A159" s="11" t="s">
        <v>681</v>
      </c>
      <c r="B159" s="36" t="s">
        <v>716</v>
      </c>
      <c r="C159" s="11" t="s">
        <v>722</v>
      </c>
      <c r="D159" s="13" t="s">
        <v>718</v>
      </c>
      <c r="E159" s="45" t="s">
        <v>39</v>
      </c>
      <c r="F159" s="11" t="s">
        <v>723</v>
      </c>
      <c r="G159" s="11" t="s">
        <v>41</v>
      </c>
      <c r="H159" s="13">
        <v>0</v>
      </c>
      <c r="I159" s="11" t="s">
        <v>724</v>
      </c>
      <c r="J159" s="11" t="s">
        <v>725</v>
      </c>
      <c r="K159" s="17">
        <v>6839.37</v>
      </c>
      <c r="L159" s="17">
        <f t="shared" si="35"/>
        <v>82072.44</v>
      </c>
      <c r="M159" s="38">
        <f t="shared" si="37"/>
        <v>410362.2</v>
      </c>
      <c r="N159" s="24" t="s">
        <v>44</v>
      </c>
      <c r="O159" s="39">
        <v>46470</v>
      </c>
    </row>
    <row r="160" spans="1:15" ht="34.5" customHeight="1">
      <c r="A160" s="11" t="s">
        <v>681</v>
      </c>
      <c r="B160" s="36" t="s">
        <v>716</v>
      </c>
      <c r="C160" s="173" t="s">
        <v>726</v>
      </c>
      <c r="D160" s="13" t="s">
        <v>718</v>
      </c>
      <c r="E160" s="14" t="s">
        <v>95</v>
      </c>
      <c r="F160" s="11" t="s">
        <v>727</v>
      </c>
      <c r="G160" s="11" t="s">
        <v>728</v>
      </c>
      <c r="H160" s="13">
        <v>1</v>
      </c>
      <c r="I160" s="22" t="s">
        <v>98</v>
      </c>
      <c r="J160" s="46" t="s">
        <v>99</v>
      </c>
      <c r="K160" s="17">
        <v>4443.1000000000004</v>
      </c>
      <c r="L160" s="17">
        <f t="shared" si="35"/>
        <v>53317.200000000004</v>
      </c>
      <c r="M160" s="38">
        <f>K160*60</f>
        <v>266586</v>
      </c>
      <c r="N160" s="52" t="s">
        <v>44</v>
      </c>
      <c r="O160" s="25">
        <v>47523</v>
      </c>
    </row>
    <row r="161" spans="1:15" ht="34.5" customHeight="1">
      <c r="A161" s="11" t="s">
        <v>681</v>
      </c>
      <c r="B161" s="26" t="s">
        <v>682</v>
      </c>
      <c r="C161" s="11" t="s">
        <v>729</v>
      </c>
      <c r="D161" s="27" t="s">
        <v>684</v>
      </c>
      <c r="E161" s="45" t="s">
        <v>39</v>
      </c>
      <c r="F161" s="11" t="s">
        <v>730</v>
      </c>
      <c r="G161" s="11" t="s">
        <v>41</v>
      </c>
      <c r="H161" s="27">
        <v>0</v>
      </c>
      <c r="I161" s="11" t="s">
        <v>731</v>
      </c>
      <c r="J161" s="46" t="s">
        <v>732</v>
      </c>
      <c r="K161" s="53">
        <v>5672.69</v>
      </c>
      <c r="L161" s="17">
        <f t="shared" si="35"/>
        <v>68072.28</v>
      </c>
      <c r="M161" s="38">
        <f>K161*60</f>
        <v>340361.39999999997</v>
      </c>
      <c r="N161" s="24" t="s">
        <v>44</v>
      </c>
      <c r="O161" s="60">
        <v>46475</v>
      </c>
    </row>
    <row r="162" spans="1:15" ht="34.5" customHeight="1">
      <c r="A162" s="11" t="s">
        <v>681</v>
      </c>
      <c r="B162" s="26" t="s">
        <v>682</v>
      </c>
      <c r="C162" s="173" t="s">
        <v>733</v>
      </c>
      <c r="D162" s="27" t="s">
        <v>684</v>
      </c>
      <c r="E162" s="14" t="s">
        <v>95</v>
      </c>
      <c r="F162" s="11" t="s">
        <v>734</v>
      </c>
      <c r="G162" s="11" t="s">
        <v>735</v>
      </c>
      <c r="H162" s="27">
        <v>1</v>
      </c>
      <c r="I162" s="11" t="s">
        <v>375</v>
      </c>
      <c r="J162" s="46" t="s">
        <v>376</v>
      </c>
      <c r="K162" s="53">
        <v>4896.04</v>
      </c>
      <c r="L162" s="17">
        <f t="shared" si="35"/>
        <v>58752.479999999996</v>
      </c>
      <c r="M162" s="17">
        <f>K162*12</f>
        <v>58752.479999999996</v>
      </c>
      <c r="N162" s="47" t="s">
        <v>36</v>
      </c>
      <c r="O162" s="60">
        <v>46057</v>
      </c>
    </row>
    <row r="163" spans="1:15" ht="34.5" customHeight="1">
      <c r="A163" s="11" t="s">
        <v>681</v>
      </c>
      <c r="B163" s="36" t="s">
        <v>682</v>
      </c>
      <c r="C163" s="173" t="s">
        <v>736</v>
      </c>
      <c r="D163" s="13" t="s">
        <v>684</v>
      </c>
      <c r="E163" s="14" t="s">
        <v>101</v>
      </c>
      <c r="F163" s="11" t="s">
        <v>737</v>
      </c>
      <c r="G163" s="11" t="s">
        <v>206</v>
      </c>
      <c r="H163" s="13">
        <v>0</v>
      </c>
      <c r="I163" s="22" t="s">
        <v>738</v>
      </c>
      <c r="J163" s="22" t="s">
        <v>639</v>
      </c>
      <c r="K163" s="32">
        <v>492.36579999999998</v>
      </c>
      <c r="L163" s="17">
        <f t="shared" si="35"/>
        <v>5908.3895999999995</v>
      </c>
      <c r="M163" s="38">
        <f t="shared" ref="M163:M166" si="38">K163*60</f>
        <v>29541.948</v>
      </c>
      <c r="N163" s="120" t="s">
        <v>44</v>
      </c>
      <c r="O163" s="39">
        <v>47306</v>
      </c>
    </row>
    <row r="164" spans="1:15" ht="34.5" customHeight="1">
      <c r="A164" s="11" t="s">
        <v>681</v>
      </c>
      <c r="B164" s="36" t="s">
        <v>716</v>
      </c>
      <c r="C164" s="11" t="s">
        <v>739</v>
      </c>
      <c r="D164" s="13" t="s">
        <v>740</v>
      </c>
      <c r="E164" s="45" t="s">
        <v>71</v>
      </c>
      <c r="F164" s="11" t="s">
        <v>741</v>
      </c>
      <c r="G164" s="11" t="s">
        <v>41</v>
      </c>
      <c r="H164" s="13">
        <v>0</v>
      </c>
      <c r="I164" s="91" t="s">
        <v>742</v>
      </c>
      <c r="J164" s="15" t="s">
        <v>721</v>
      </c>
      <c r="K164" s="17">
        <v>2602.31</v>
      </c>
      <c r="L164" s="17">
        <f t="shared" si="35"/>
        <v>31227.72</v>
      </c>
      <c r="M164" s="38">
        <f t="shared" si="38"/>
        <v>156138.6</v>
      </c>
      <c r="N164" s="24" t="s">
        <v>44</v>
      </c>
      <c r="O164" s="25">
        <v>46511</v>
      </c>
    </row>
    <row r="165" spans="1:15" ht="34.5" customHeight="1">
      <c r="A165" s="11" t="s">
        <v>681</v>
      </c>
      <c r="B165" s="36" t="s">
        <v>716</v>
      </c>
      <c r="C165" s="11" t="s">
        <v>743</v>
      </c>
      <c r="D165" s="13" t="s">
        <v>740</v>
      </c>
      <c r="E165" s="45" t="s">
        <v>39</v>
      </c>
      <c r="F165" s="11" t="s">
        <v>744</v>
      </c>
      <c r="G165" s="11" t="s">
        <v>41</v>
      </c>
      <c r="H165" s="13">
        <v>0</v>
      </c>
      <c r="I165" s="69" t="s">
        <v>745</v>
      </c>
      <c r="J165" s="46" t="s">
        <v>746</v>
      </c>
      <c r="K165" s="17">
        <v>8439.35</v>
      </c>
      <c r="L165" s="17">
        <f t="shared" si="35"/>
        <v>101272.20000000001</v>
      </c>
      <c r="M165" s="38">
        <f t="shared" si="38"/>
        <v>506361</v>
      </c>
      <c r="N165" s="24" t="s">
        <v>44</v>
      </c>
      <c r="O165" s="25">
        <v>46511</v>
      </c>
    </row>
    <row r="166" spans="1:15" ht="34.5" customHeight="1">
      <c r="A166" s="11" t="s">
        <v>681</v>
      </c>
      <c r="B166" s="26" t="s">
        <v>716</v>
      </c>
      <c r="C166" s="173" t="s">
        <v>747</v>
      </c>
      <c r="D166" s="27" t="s">
        <v>740</v>
      </c>
      <c r="E166" s="14" t="s">
        <v>95</v>
      </c>
      <c r="F166" s="11" t="s">
        <v>748</v>
      </c>
      <c r="G166" s="11" t="s">
        <v>749</v>
      </c>
      <c r="H166" s="13">
        <v>3</v>
      </c>
      <c r="I166" s="11" t="s">
        <v>98</v>
      </c>
      <c r="J166" s="46" t="s">
        <v>99</v>
      </c>
      <c r="K166" s="17">
        <v>13460.64</v>
      </c>
      <c r="L166" s="17">
        <f t="shared" si="35"/>
        <v>161527.67999999999</v>
      </c>
      <c r="M166" s="38">
        <f t="shared" si="38"/>
        <v>807638.39999999991</v>
      </c>
      <c r="N166" s="24" t="s">
        <v>44</v>
      </c>
      <c r="O166" s="39">
        <v>47384</v>
      </c>
    </row>
    <row r="167" spans="1:15" ht="34.5" customHeight="1">
      <c r="A167" s="11" t="s">
        <v>681</v>
      </c>
      <c r="B167" s="36" t="s">
        <v>716</v>
      </c>
      <c r="C167" s="173" t="s">
        <v>750</v>
      </c>
      <c r="D167" s="13" t="s">
        <v>740</v>
      </c>
      <c r="E167" s="14" t="s">
        <v>394</v>
      </c>
      <c r="F167" s="11" t="s">
        <v>751</v>
      </c>
      <c r="G167" s="11" t="s">
        <v>752</v>
      </c>
      <c r="H167" s="13">
        <v>0</v>
      </c>
      <c r="I167" s="29" t="s">
        <v>753</v>
      </c>
      <c r="J167" s="11" t="s">
        <v>754</v>
      </c>
      <c r="K167" s="17">
        <v>946.40499999999997</v>
      </c>
      <c r="L167" s="17">
        <f t="shared" si="35"/>
        <v>11356.86</v>
      </c>
      <c r="M167" s="17">
        <f t="shared" ref="M167:M170" si="39">K167*12</f>
        <v>11356.86</v>
      </c>
      <c r="N167" s="121" t="s">
        <v>755</v>
      </c>
      <c r="O167" s="25">
        <v>46235</v>
      </c>
    </row>
    <row r="168" spans="1:15" ht="34.5" customHeight="1">
      <c r="A168" s="11" t="s">
        <v>681</v>
      </c>
      <c r="B168" s="26" t="s">
        <v>682</v>
      </c>
      <c r="C168" s="11" t="s">
        <v>756</v>
      </c>
      <c r="D168" s="27" t="s">
        <v>689</v>
      </c>
      <c r="E168" s="45" t="s">
        <v>71</v>
      </c>
      <c r="F168" s="11" t="s">
        <v>757</v>
      </c>
      <c r="G168" s="11" t="s">
        <v>41</v>
      </c>
      <c r="H168" s="13">
        <v>0</v>
      </c>
      <c r="I168" s="29" t="s">
        <v>758</v>
      </c>
      <c r="J168" s="22" t="s">
        <v>759</v>
      </c>
      <c r="K168" s="17">
        <v>257.60000000000002</v>
      </c>
      <c r="L168" s="17">
        <f>K168*12</f>
        <v>3091.2000000000003</v>
      </c>
      <c r="M168" s="17">
        <f t="shared" si="39"/>
        <v>3091.2000000000003</v>
      </c>
      <c r="N168" s="24" t="s">
        <v>44</v>
      </c>
      <c r="O168" s="25">
        <v>47085</v>
      </c>
    </row>
    <row r="169" spans="1:15" ht="34.5" customHeight="1">
      <c r="A169" s="11" t="s">
        <v>681</v>
      </c>
      <c r="B169" s="26" t="s">
        <v>682</v>
      </c>
      <c r="C169" s="11" t="s">
        <v>760</v>
      </c>
      <c r="D169" s="27" t="s">
        <v>689</v>
      </c>
      <c r="E169" s="45" t="s">
        <v>71</v>
      </c>
      <c r="F169" s="11" t="s">
        <v>761</v>
      </c>
      <c r="G169" s="11" t="s">
        <v>41</v>
      </c>
      <c r="H169" s="13">
        <v>0</v>
      </c>
      <c r="I169" s="29" t="s">
        <v>758</v>
      </c>
      <c r="J169" s="22" t="s">
        <v>762</v>
      </c>
      <c r="K169" s="17">
        <v>2068.5300000000002</v>
      </c>
      <c r="L169" s="17">
        <f>K169*12</f>
        <v>24822.36</v>
      </c>
      <c r="M169" s="17">
        <f>K169*60</f>
        <v>124111.80000000002</v>
      </c>
      <c r="N169" s="24" t="s">
        <v>44</v>
      </c>
      <c r="O169" s="25">
        <v>46578</v>
      </c>
    </row>
    <row r="170" spans="1:15" ht="34.5" customHeight="1">
      <c r="A170" s="11" t="s">
        <v>681</v>
      </c>
      <c r="B170" s="26" t="s">
        <v>682</v>
      </c>
      <c r="C170" s="11" t="s">
        <v>763</v>
      </c>
      <c r="D170" s="27" t="s">
        <v>689</v>
      </c>
      <c r="E170" s="45" t="s">
        <v>39</v>
      </c>
      <c r="F170" s="11" t="s">
        <v>764</v>
      </c>
      <c r="G170" s="11" t="s">
        <v>41</v>
      </c>
      <c r="H170" s="27">
        <v>0</v>
      </c>
      <c r="I170" s="122" t="s">
        <v>765</v>
      </c>
      <c r="J170" s="46" t="s">
        <v>766</v>
      </c>
      <c r="K170" s="59">
        <v>353.73</v>
      </c>
      <c r="L170" s="17">
        <f t="shared" si="35"/>
        <v>4244.76</v>
      </c>
      <c r="M170" s="17">
        <f t="shared" si="39"/>
        <v>4244.76</v>
      </c>
      <c r="N170" s="24" t="s">
        <v>44</v>
      </c>
      <c r="O170" s="60">
        <v>47085</v>
      </c>
    </row>
    <row r="171" spans="1:15" ht="34.5" customHeight="1">
      <c r="A171" s="11" t="s">
        <v>681</v>
      </c>
      <c r="B171" s="36" t="s">
        <v>682</v>
      </c>
      <c r="C171" s="172" t="s">
        <v>767</v>
      </c>
      <c r="D171" s="13" t="s">
        <v>689</v>
      </c>
      <c r="E171" s="48" t="s">
        <v>95</v>
      </c>
      <c r="F171" s="35" t="s">
        <v>768</v>
      </c>
      <c r="G171" s="35" t="s">
        <v>769</v>
      </c>
      <c r="H171" s="49">
        <v>2</v>
      </c>
      <c r="I171" s="72" t="s">
        <v>770</v>
      </c>
      <c r="J171" s="43" t="s">
        <v>376</v>
      </c>
      <c r="K171" s="44">
        <v>10242.42</v>
      </c>
      <c r="L171" s="44">
        <f t="shared" si="35"/>
        <v>122909.04000000001</v>
      </c>
      <c r="M171" s="44">
        <f>K171*60</f>
        <v>614545.19999999995</v>
      </c>
      <c r="N171" s="24" t="s">
        <v>44</v>
      </c>
      <c r="O171" s="39">
        <v>47426</v>
      </c>
    </row>
    <row r="172" spans="1:15" ht="34.5" customHeight="1">
      <c r="A172" s="11" t="s">
        <v>681</v>
      </c>
      <c r="B172" s="36" t="s">
        <v>682</v>
      </c>
      <c r="C172" s="173" t="s">
        <v>771</v>
      </c>
      <c r="D172" s="13" t="s">
        <v>689</v>
      </c>
      <c r="E172" s="45" t="s">
        <v>101</v>
      </c>
      <c r="F172" s="35" t="s">
        <v>772</v>
      </c>
      <c r="G172" s="11" t="s">
        <v>699</v>
      </c>
      <c r="H172" s="13">
        <v>0</v>
      </c>
      <c r="I172" s="73" t="s">
        <v>773</v>
      </c>
      <c r="J172" s="46" t="s">
        <v>105</v>
      </c>
      <c r="K172" s="17">
        <v>2755.33</v>
      </c>
      <c r="L172" s="17">
        <f t="shared" si="35"/>
        <v>33063.96</v>
      </c>
      <c r="M172" s="38">
        <f t="shared" ref="M172" si="40">K172*60</f>
        <v>165319.79999999999</v>
      </c>
      <c r="N172" s="47" t="s">
        <v>44</v>
      </c>
      <c r="O172" s="25">
        <v>47330</v>
      </c>
    </row>
    <row r="173" spans="1:15" ht="34.5" customHeight="1">
      <c r="A173" s="11" t="s">
        <v>681</v>
      </c>
      <c r="B173" s="36" t="s">
        <v>682</v>
      </c>
      <c r="C173" s="173" t="s">
        <v>774</v>
      </c>
      <c r="D173" s="13" t="s">
        <v>689</v>
      </c>
      <c r="E173" s="14" t="s">
        <v>394</v>
      </c>
      <c r="F173" s="11" t="s">
        <v>775</v>
      </c>
      <c r="G173" s="11" t="s">
        <v>776</v>
      </c>
      <c r="H173" s="13">
        <v>0</v>
      </c>
      <c r="I173" s="22" t="s">
        <v>777</v>
      </c>
      <c r="J173" s="23" t="s">
        <v>778</v>
      </c>
      <c r="K173" s="17">
        <v>1919.44</v>
      </c>
      <c r="L173" s="17">
        <f t="shared" ref="L173:L226" si="41">K173*12</f>
        <v>23033.279999999999</v>
      </c>
      <c r="M173" s="17">
        <f>K173*12</f>
        <v>23033.279999999999</v>
      </c>
      <c r="N173" s="47" t="s">
        <v>36</v>
      </c>
      <c r="O173" s="25">
        <v>46338</v>
      </c>
    </row>
    <row r="174" spans="1:15" ht="34.5" customHeight="1">
      <c r="A174" s="11" t="s">
        <v>681</v>
      </c>
      <c r="B174" s="26" t="s">
        <v>716</v>
      </c>
      <c r="C174" s="11" t="s">
        <v>779</v>
      </c>
      <c r="D174" s="13" t="s">
        <v>780</v>
      </c>
      <c r="E174" s="45" t="s">
        <v>71</v>
      </c>
      <c r="F174" s="11" t="s">
        <v>781</v>
      </c>
      <c r="G174" s="11" t="s">
        <v>41</v>
      </c>
      <c r="H174" s="27">
        <v>0</v>
      </c>
      <c r="I174" s="11" t="s">
        <v>720</v>
      </c>
      <c r="J174" s="46" t="s">
        <v>721</v>
      </c>
      <c r="K174" s="53">
        <v>624.13</v>
      </c>
      <c r="L174" s="17">
        <f t="shared" si="41"/>
        <v>7489.5599999999995</v>
      </c>
      <c r="M174" s="38">
        <f t="shared" ref="M174:M175" si="42">K174*60</f>
        <v>37447.800000000003</v>
      </c>
      <c r="N174" s="52" t="s">
        <v>363</v>
      </c>
      <c r="O174" s="60">
        <v>46481</v>
      </c>
    </row>
    <row r="175" spans="1:15" ht="34.5" customHeight="1">
      <c r="A175" s="11" t="s">
        <v>681</v>
      </c>
      <c r="B175" s="26" t="s">
        <v>716</v>
      </c>
      <c r="C175" s="11" t="s">
        <v>782</v>
      </c>
      <c r="D175" s="13" t="s">
        <v>780</v>
      </c>
      <c r="E175" s="45" t="s">
        <v>39</v>
      </c>
      <c r="F175" s="11" t="s">
        <v>783</v>
      </c>
      <c r="G175" s="11" t="s">
        <v>41</v>
      </c>
      <c r="H175" s="27">
        <v>0</v>
      </c>
      <c r="I175" s="11" t="s">
        <v>784</v>
      </c>
      <c r="J175" s="46" t="s">
        <v>725</v>
      </c>
      <c r="K175" s="53">
        <v>10806.17</v>
      </c>
      <c r="L175" s="17">
        <f t="shared" si="41"/>
        <v>129674.04000000001</v>
      </c>
      <c r="M175" s="38">
        <f t="shared" si="42"/>
        <v>648370.19999999995</v>
      </c>
      <c r="N175" s="24" t="s">
        <v>363</v>
      </c>
      <c r="O175" s="60">
        <v>46475</v>
      </c>
    </row>
    <row r="176" spans="1:15" ht="34.5" customHeight="1">
      <c r="A176" s="11" t="s">
        <v>681</v>
      </c>
      <c r="B176" s="26" t="s">
        <v>716</v>
      </c>
      <c r="C176" s="173" t="s">
        <v>785</v>
      </c>
      <c r="D176" s="13" t="s">
        <v>780</v>
      </c>
      <c r="E176" s="14" t="s">
        <v>95</v>
      </c>
      <c r="F176" s="11" t="s">
        <v>786</v>
      </c>
      <c r="G176" s="11" t="s">
        <v>787</v>
      </c>
      <c r="H176" s="27">
        <v>1</v>
      </c>
      <c r="I176" s="11" t="s">
        <v>98</v>
      </c>
      <c r="J176" s="46" t="s">
        <v>99</v>
      </c>
      <c r="K176" s="53">
        <v>10131.01</v>
      </c>
      <c r="L176" s="17">
        <f t="shared" si="41"/>
        <v>121572.12</v>
      </c>
      <c r="M176" s="38">
        <f>K176*30</f>
        <v>303930.3</v>
      </c>
      <c r="N176" s="52" t="s">
        <v>51</v>
      </c>
      <c r="O176" s="21">
        <v>46194</v>
      </c>
    </row>
    <row r="177" spans="1:15" ht="34.5" customHeight="1">
      <c r="A177" s="11" t="s">
        <v>681</v>
      </c>
      <c r="B177" s="36" t="s">
        <v>716</v>
      </c>
      <c r="C177" s="173" t="s">
        <v>788</v>
      </c>
      <c r="D177" s="13" t="s">
        <v>780</v>
      </c>
      <c r="E177" s="45" t="s">
        <v>101</v>
      </c>
      <c r="F177" s="11" t="s">
        <v>789</v>
      </c>
      <c r="G177" s="11" t="s">
        <v>260</v>
      </c>
      <c r="H177" s="13">
        <v>0</v>
      </c>
      <c r="I177" s="11" t="s">
        <v>790</v>
      </c>
      <c r="J177" s="22" t="s">
        <v>105</v>
      </c>
      <c r="K177" s="17">
        <v>2866.92</v>
      </c>
      <c r="L177" s="17">
        <f t="shared" si="41"/>
        <v>34403.040000000001</v>
      </c>
      <c r="M177" s="38">
        <f t="shared" ref="M177" si="43">K177*60</f>
        <v>172015.2</v>
      </c>
      <c r="N177" s="52" t="s">
        <v>44</v>
      </c>
      <c r="O177" s="39">
        <v>47300</v>
      </c>
    </row>
    <row r="178" spans="1:15" ht="34.5" customHeight="1">
      <c r="A178" s="11" t="s">
        <v>681</v>
      </c>
      <c r="B178" s="36" t="s">
        <v>716</v>
      </c>
      <c r="C178" s="173" t="s">
        <v>791</v>
      </c>
      <c r="D178" s="13" t="s">
        <v>780</v>
      </c>
      <c r="E178" s="14" t="s">
        <v>394</v>
      </c>
      <c r="F178" s="11" t="s">
        <v>792</v>
      </c>
      <c r="G178" s="11" t="s">
        <v>793</v>
      </c>
      <c r="H178" s="13">
        <v>0</v>
      </c>
      <c r="I178" s="22" t="s">
        <v>794</v>
      </c>
      <c r="J178" s="22" t="s">
        <v>795</v>
      </c>
      <c r="K178" s="44">
        <v>1541.35</v>
      </c>
      <c r="L178" s="44">
        <f t="shared" si="41"/>
        <v>18496.199999999997</v>
      </c>
      <c r="M178" s="17">
        <f>K178*12</f>
        <v>18496.199999999997</v>
      </c>
      <c r="N178" s="52" t="s">
        <v>36</v>
      </c>
      <c r="O178" s="25">
        <v>46300</v>
      </c>
    </row>
    <row r="179" spans="1:15" ht="34.5" customHeight="1">
      <c r="A179" s="11" t="s">
        <v>681</v>
      </c>
      <c r="B179" s="26" t="s">
        <v>682</v>
      </c>
      <c r="C179" s="11" t="s">
        <v>796</v>
      </c>
      <c r="D179" s="27" t="s">
        <v>690</v>
      </c>
      <c r="E179" s="45" t="s">
        <v>71</v>
      </c>
      <c r="F179" s="11" t="s">
        <v>797</v>
      </c>
      <c r="G179" s="11" t="s">
        <v>41</v>
      </c>
      <c r="H179" s="27">
        <v>0</v>
      </c>
      <c r="I179" s="11" t="s">
        <v>798</v>
      </c>
      <c r="J179" s="46" t="s">
        <v>799</v>
      </c>
      <c r="K179" s="53">
        <v>657.07</v>
      </c>
      <c r="L179" s="17">
        <f t="shared" si="41"/>
        <v>7884.84</v>
      </c>
      <c r="M179" s="38">
        <f t="shared" ref="M179:M181" si="44">K179*60</f>
        <v>39424.200000000004</v>
      </c>
      <c r="N179" s="47" t="s">
        <v>363</v>
      </c>
      <c r="O179" s="60">
        <v>46480</v>
      </c>
    </row>
    <row r="180" spans="1:15" ht="34.5" customHeight="1">
      <c r="A180" s="11" t="s">
        <v>681</v>
      </c>
      <c r="B180" s="26" t="s">
        <v>682</v>
      </c>
      <c r="C180" s="11" t="s">
        <v>800</v>
      </c>
      <c r="D180" s="27" t="s">
        <v>690</v>
      </c>
      <c r="E180" s="45" t="s">
        <v>39</v>
      </c>
      <c r="F180" s="11" t="s">
        <v>801</v>
      </c>
      <c r="G180" s="11" t="s">
        <v>41</v>
      </c>
      <c r="H180" s="27">
        <v>0</v>
      </c>
      <c r="I180" s="11" t="s">
        <v>802</v>
      </c>
      <c r="J180" s="11" t="s">
        <v>732</v>
      </c>
      <c r="K180" s="53">
        <v>5144.9383333333299</v>
      </c>
      <c r="L180" s="17">
        <f t="shared" si="41"/>
        <v>61739.259999999958</v>
      </c>
      <c r="M180" s="38">
        <f t="shared" si="44"/>
        <v>308696.29999999981</v>
      </c>
      <c r="N180" s="24" t="s">
        <v>363</v>
      </c>
      <c r="O180" s="60">
        <v>46477</v>
      </c>
    </row>
    <row r="181" spans="1:15" ht="34.5" customHeight="1">
      <c r="A181" s="11" t="s">
        <v>681</v>
      </c>
      <c r="B181" s="26" t="s">
        <v>682</v>
      </c>
      <c r="C181" s="11" t="s">
        <v>803</v>
      </c>
      <c r="D181" s="27" t="s">
        <v>690</v>
      </c>
      <c r="E181" s="45" t="s">
        <v>39</v>
      </c>
      <c r="F181" s="11" t="s">
        <v>804</v>
      </c>
      <c r="G181" s="11" t="s">
        <v>41</v>
      </c>
      <c r="H181" s="27">
        <v>0</v>
      </c>
      <c r="I181" s="11" t="s">
        <v>802</v>
      </c>
      <c r="J181" s="11" t="s">
        <v>805</v>
      </c>
      <c r="K181" s="53">
        <v>1208.0291666666601</v>
      </c>
      <c r="L181" s="17">
        <f t="shared" si="41"/>
        <v>14496.349999999922</v>
      </c>
      <c r="M181" s="38">
        <f t="shared" si="44"/>
        <v>72481.749999999607</v>
      </c>
      <c r="N181" s="24" t="s">
        <v>80</v>
      </c>
      <c r="O181" s="60" t="s">
        <v>80</v>
      </c>
    </row>
    <row r="182" spans="1:15" ht="34.5" customHeight="1">
      <c r="A182" s="11" t="s">
        <v>681</v>
      </c>
      <c r="B182" s="36" t="s">
        <v>682</v>
      </c>
      <c r="C182" s="173" t="s">
        <v>806</v>
      </c>
      <c r="D182" s="13" t="s">
        <v>690</v>
      </c>
      <c r="E182" s="14" t="s">
        <v>95</v>
      </c>
      <c r="F182" s="11" t="s">
        <v>807</v>
      </c>
      <c r="G182" s="11" t="s">
        <v>808</v>
      </c>
      <c r="H182" s="13">
        <v>1</v>
      </c>
      <c r="I182" s="22" t="s">
        <v>98</v>
      </c>
      <c r="J182" s="22" t="s">
        <v>99</v>
      </c>
      <c r="K182" s="17">
        <v>5482.28</v>
      </c>
      <c r="L182" s="17">
        <f t="shared" si="41"/>
        <v>65787.360000000001</v>
      </c>
      <c r="M182" s="38">
        <f>K182*30</f>
        <v>164468.4</v>
      </c>
      <c r="N182" s="24" t="s">
        <v>51</v>
      </c>
      <c r="O182" s="25">
        <v>46880</v>
      </c>
    </row>
    <row r="183" spans="1:15" ht="34.5" customHeight="1">
      <c r="A183" s="11" t="s">
        <v>681</v>
      </c>
      <c r="B183" s="36" t="s">
        <v>682</v>
      </c>
      <c r="C183" s="173" t="s">
        <v>809</v>
      </c>
      <c r="D183" s="13" t="s">
        <v>690</v>
      </c>
      <c r="E183" s="45" t="s">
        <v>101</v>
      </c>
      <c r="F183" s="11" t="s">
        <v>810</v>
      </c>
      <c r="G183" s="11" t="s">
        <v>699</v>
      </c>
      <c r="H183" s="13">
        <v>0</v>
      </c>
      <c r="I183" s="73" t="s">
        <v>790</v>
      </c>
      <c r="J183" s="46" t="s">
        <v>105</v>
      </c>
      <c r="K183" s="17">
        <v>2634.75</v>
      </c>
      <c r="L183" s="17">
        <f t="shared" si="41"/>
        <v>31617</v>
      </c>
      <c r="M183" s="38">
        <f t="shared" ref="M183" si="45">K183*60</f>
        <v>158085</v>
      </c>
      <c r="N183" s="24" t="s">
        <v>44</v>
      </c>
      <c r="O183" s="25">
        <v>47330</v>
      </c>
    </row>
    <row r="184" spans="1:15" ht="34.5" customHeight="1">
      <c r="A184" s="11" t="s">
        <v>681</v>
      </c>
      <c r="B184" s="36" t="s">
        <v>682</v>
      </c>
      <c r="C184" s="173" t="s">
        <v>811</v>
      </c>
      <c r="D184" s="13" t="s">
        <v>690</v>
      </c>
      <c r="E184" s="14" t="s">
        <v>394</v>
      </c>
      <c r="F184" s="11" t="s">
        <v>812</v>
      </c>
      <c r="G184" s="11" t="s">
        <v>813</v>
      </c>
      <c r="H184" s="13">
        <v>0</v>
      </c>
      <c r="I184" s="11" t="s">
        <v>814</v>
      </c>
      <c r="J184" s="16" t="s">
        <v>815</v>
      </c>
      <c r="K184" s="53">
        <v>900</v>
      </c>
      <c r="L184" s="17">
        <f t="shared" si="41"/>
        <v>10800</v>
      </c>
      <c r="M184" s="17">
        <f>K184*12</f>
        <v>10800</v>
      </c>
      <c r="N184" s="52" t="s">
        <v>36</v>
      </c>
      <c r="O184" s="25">
        <v>46265</v>
      </c>
    </row>
    <row r="185" spans="1:15" ht="34.5" customHeight="1">
      <c r="A185" s="11" t="s">
        <v>681</v>
      </c>
      <c r="B185" s="36" t="s">
        <v>716</v>
      </c>
      <c r="C185" s="11" t="s">
        <v>816</v>
      </c>
      <c r="D185" s="27" t="s">
        <v>817</v>
      </c>
      <c r="E185" s="45" t="s">
        <v>71</v>
      </c>
      <c r="F185" s="11" t="s">
        <v>818</v>
      </c>
      <c r="G185" s="11" t="s">
        <v>41</v>
      </c>
      <c r="H185" s="27">
        <v>0</v>
      </c>
      <c r="I185" s="16" t="s">
        <v>720</v>
      </c>
      <c r="J185" s="74" t="s">
        <v>721</v>
      </c>
      <c r="K185" s="59">
        <v>353.4</v>
      </c>
      <c r="L185" s="17">
        <f t="shared" si="41"/>
        <v>4240.7999999999993</v>
      </c>
      <c r="M185" s="38">
        <f t="shared" ref="M185:M186" si="46">K185*60</f>
        <v>21204</v>
      </c>
      <c r="N185" s="47" t="s">
        <v>363</v>
      </c>
      <c r="O185" s="60">
        <v>46481</v>
      </c>
    </row>
    <row r="186" spans="1:15" ht="34.5" customHeight="1">
      <c r="A186" s="11" t="s">
        <v>681</v>
      </c>
      <c r="B186" s="36" t="s">
        <v>716</v>
      </c>
      <c r="C186" s="11" t="s">
        <v>819</v>
      </c>
      <c r="D186" s="27" t="s">
        <v>817</v>
      </c>
      <c r="E186" s="45" t="s">
        <v>39</v>
      </c>
      <c r="F186" s="11" t="s">
        <v>820</v>
      </c>
      <c r="G186" s="11" t="s">
        <v>41</v>
      </c>
      <c r="H186" s="27">
        <v>0</v>
      </c>
      <c r="I186" s="16" t="s">
        <v>724</v>
      </c>
      <c r="J186" s="74" t="s">
        <v>725</v>
      </c>
      <c r="K186" s="59">
        <v>3336.51</v>
      </c>
      <c r="L186" s="17">
        <f t="shared" si="41"/>
        <v>40038.120000000003</v>
      </c>
      <c r="M186" s="38">
        <f t="shared" si="46"/>
        <v>200190.6</v>
      </c>
      <c r="N186" s="47" t="s">
        <v>363</v>
      </c>
      <c r="O186" s="60">
        <v>46475</v>
      </c>
    </row>
    <row r="187" spans="1:15" ht="34.5" customHeight="1">
      <c r="A187" s="11" t="s">
        <v>681</v>
      </c>
      <c r="B187" s="26" t="s">
        <v>716</v>
      </c>
      <c r="C187" s="173" t="s">
        <v>821</v>
      </c>
      <c r="D187" s="27" t="s">
        <v>817</v>
      </c>
      <c r="E187" s="14" t="s">
        <v>95</v>
      </c>
      <c r="F187" s="11" t="s">
        <v>822</v>
      </c>
      <c r="G187" s="11" t="s">
        <v>823</v>
      </c>
      <c r="H187" s="13">
        <v>1</v>
      </c>
      <c r="I187" s="22" t="s">
        <v>98</v>
      </c>
      <c r="J187" s="23" t="s">
        <v>99</v>
      </c>
      <c r="K187" s="17">
        <v>4688.5</v>
      </c>
      <c r="L187" s="17">
        <f t="shared" si="41"/>
        <v>56262</v>
      </c>
      <c r="M187" s="17">
        <f>K187*30</f>
        <v>140655</v>
      </c>
      <c r="N187" s="47" t="s">
        <v>51</v>
      </c>
      <c r="O187" s="39">
        <v>46032</v>
      </c>
    </row>
    <row r="188" spans="1:15" ht="34.5" customHeight="1">
      <c r="A188" s="11" t="s">
        <v>681</v>
      </c>
      <c r="B188" s="26" t="s">
        <v>716</v>
      </c>
      <c r="C188" s="173" t="s">
        <v>824</v>
      </c>
      <c r="D188" s="27" t="s">
        <v>817</v>
      </c>
      <c r="E188" s="45" t="s">
        <v>101</v>
      </c>
      <c r="F188" s="11" t="s">
        <v>825</v>
      </c>
      <c r="G188" s="11" t="s">
        <v>826</v>
      </c>
      <c r="H188" s="13">
        <v>0</v>
      </c>
      <c r="I188" s="73" t="s">
        <v>773</v>
      </c>
      <c r="J188" s="46" t="s">
        <v>105</v>
      </c>
      <c r="K188" s="17">
        <v>3043.5</v>
      </c>
      <c r="L188" s="17">
        <f t="shared" si="41"/>
        <v>36522</v>
      </c>
      <c r="M188" s="38">
        <f t="shared" ref="M188:M190" si="47">K188*60</f>
        <v>182610</v>
      </c>
      <c r="N188" s="24" t="s">
        <v>44</v>
      </c>
      <c r="O188" s="39">
        <v>47330</v>
      </c>
    </row>
    <row r="189" spans="1:15" ht="34.5" customHeight="1">
      <c r="A189" s="11" t="s">
        <v>681</v>
      </c>
      <c r="B189" s="26" t="s">
        <v>691</v>
      </c>
      <c r="C189" s="11" t="s">
        <v>827</v>
      </c>
      <c r="D189" s="27" t="s">
        <v>828</v>
      </c>
      <c r="E189" s="45" t="s">
        <v>71</v>
      </c>
      <c r="F189" s="11" t="s">
        <v>829</v>
      </c>
      <c r="G189" s="11" t="s">
        <v>41</v>
      </c>
      <c r="H189" s="13">
        <v>0</v>
      </c>
      <c r="I189" s="11" t="s">
        <v>830</v>
      </c>
      <c r="J189" s="46" t="s">
        <v>831</v>
      </c>
      <c r="K189" s="53">
        <v>625.36</v>
      </c>
      <c r="L189" s="17">
        <f t="shared" si="41"/>
        <v>7504.32</v>
      </c>
      <c r="M189" s="38">
        <f t="shared" si="47"/>
        <v>37521.599999999999</v>
      </c>
      <c r="N189" s="47" t="s">
        <v>44</v>
      </c>
      <c r="O189" s="25">
        <v>46495</v>
      </c>
    </row>
    <row r="190" spans="1:15" ht="34.5" customHeight="1">
      <c r="A190" s="11" t="s">
        <v>681</v>
      </c>
      <c r="B190" s="26" t="s">
        <v>691</v>
      </c>
      <c r="C190" s="11" t="s">
        <v>832</v>
      </c>
      <c r="D190" s="27" t="s">
        <v>828</v>
      </c>
      <c r="E190" s="45" t="s">
        <v>39</v>
      </c>
      <c r="F190" s="11" t="s">
        <v>833</v>
      </c>
      <c r="G190" s="11" t="s">
        <v>41</v>
      </c>
      <c r="H190" s="13">
        <v>0</v>
      </c>
      <c r="I190" s="22" t="s">
        <v>703</v>
      </c>
      <c r="J190" s="46" t="s">
        <v>834</v>
      </c>
      <c r="K190" s="53">
        <v>3724.67</v>
      </c>
      <c r="L190" s="17">
        <f t="shared" si="41"/>
        <v>44696.04</v>
      </c>
      <c r="M190" s="38">
        <f t="shared" si="47"/>
        <v>223480.2</v>
      </c>
      <c r="N190" s="47" t="s">
        <v>44</v>
      </c>
      <c r="O190" s="25">
        <v>46481</v>
      </c>
    </row>
    <row r="191" spans="1:15" ht="34.5" customHeight="1">
      <c r="A191" s="11" t="s">
        <v>681</v>
      </c>
      <c r="B191" s="26" t="s">
        <v>691</v>
      </c>
      <c r="C191" s="173" t="s">
        <v>835</v>
      </c>
      <c r="D191" s="27" t="s">
        <v>828</v>
      </c>
      <c r="E191" s="14" t="s">
        <v>95</v>
      </c>
      <c r="F191" s="11" t="s">
        <v>836</v>
      </c>
      <c r="G191" s="11" t="s">
        <v>837</v>
      </c>
      <c r="H191" s="13">
        <v>1</v>
      </c>
      <c r="I191" s="22" t="s">
        <v>838</v>
      </c>
      <c r="J191" s="123" t="s">
        <v>839</v>
      </c>
      <c r="K191" s="53">
        <v>6947.92</v>
      </c>
      <c r="L191" s="17">
        <f t="shared" si="41"/>
        <v>83375.040000000008</v>
      </c>
      <c r="M191" s="38">
        <f>K191*30</f>
        <v>208437.6</v>
      </c>
      <c r="N191" s="47" t="s">
        <v>51</v>
      </c>
      <c r="O191" s="25">
        <v>46628</v>
      </c>
    </row>
    <row r="192" spans="1:15" ht="34.5" customHeight="1">
      <c r="A192" s="11" t="s">
        <v>681</v>
      </c>
      <c r="B192" s="26" t="s">
        <v>691</v>
      </c>
      <c r="C192" s="173" t="s">
        <v>840</v>
      </c>
      <c r="D192" s="27" t="s">
        <v>828</v>
      </c>
      <c r="E192" s="45" t="s">
        <v>101</v>
      </c>
      <c r="F192" s="11" t="s">
        <v>841</v>
      </c>
      <c r="G192" s="11" t="s">
        <v>260</v>
      </c>
      <c r="H192" s="13">
        <v>0</v>
      </c>
      <c r="I192" s="22" t="s">
        <v>842</v>
      </c>
      <c r="J192" s="63" t="s">
        <v>526</v>
      </c>
      <c r="K192" s="17">
        <v>3013</v>
      </c>
      <c r="L192" s="17">
        <f t="shared" si="41"/>
        <v>36156</v>
      </c>
      <c r="M192" s="38">
        <f t="shared" ref="M192:M194" si="48">K192*60</f>
        <v>180780</v>
      </c>
      <c r="N192" s="24" t="s">
        <v>44</v>
      </c>
      <c r="O192" s="25">
        <v>47330</v>
      </c>
    </row>
    <row r="193" spans="1:15" ht="34.5" customHeight="1">
      <c r="A193" s="35" t="s">
        <v>681</v>
      </c>
      <c r="B193" s="40" t="s">
        <v>691</v>
      </c>
      <c r="C193" s="35" t="s">
        <v>843</v>
      </c>
      <c r="D193" s="49" t="s">
        <v>844</v>
      </c>
      <c r="E193" s="48" t="s">
        <v>845</v>
      </c>
      <c r="F193" s="35" t="s">
        <v>846</v>
      </c>
      <c r="G193" s="35" t="s">
        <v>847</v>
      </c>
      <c r="H193" s="49">
        <v>0</v>
      </c>
      <c r="I193" s="94" t="s">
        <v>848</v>
      </c>
      <c r="J193" s="79" t="s">
        <v>849</v>
      </c>
      <c r="K193" s="44">
        <v>108316.88</v>
      </c>
      <c r="L193" s="44">
        <f t="shared" si="41"/>
        <v>1299802.56</v>
      </c>
      <c r="M193" s="38">
        <f t="shared" si="48"/>
        <v>6499012.8000000007</v>
      </c>
      <c r="N193" s="47" t="s">
        <v>44</v>
      </c>
      <c r="O193" s="39">
        <v>47163</v>
      </c>
    </row>
    <row r="194" spans="1:15" ht="34.5" customHeight="1">
      <c r="A194" s="11" t="s">
        <v>681</v>
      </c>
      <c r="B194" s="36" t="s">
        <v>691</v>
      </c>
      <c r="C194" s="11" t="s">
        <v>850</v>
      </c>
      <c r="D194" s="13" t="s">
        <v>851</v>
      </c>
      <c r="E194" s="45" t="s">
        <v>39</v>
      </c>
      <c r="F194" s="11" t="s">
        <v>852</v>
      </c>
      <c r="G194" s="11" t="s">
        <v>41</v>
      </c>
      <c r="H194" s="13">
        <v>0</v>
      </c>
      <c r="I194" s="73" t="s">
        <v>703</v>
      </c>
      <c r="J194" s="46" t="s">
        <v>834</v>
      </c>
      <c r="K194" s="59">
        <v>3211.06</v>
      </c>
      <c r="L194" s="17">
        <f t="shared" si="41"/>
        <v>38532.720000000001</v>
      </c>
      <c r="M194" s="38">
        <f t="shared" si="48"/>
        <v>192663.6</v>
      </c>
      <c r="N194" s="47" t="s">
        <v>44</v>
      </c>
      <c r="O194" s="25">
        <v>46476</v>
      </c>
    </row>
    <row r="195" spans="1:15" ht="34.5" customHeight="1">
      <c r="A195" s="64" t="s">
        <v>681</v>
      </c>
      <c r="B195" s="124" t="s">
        <v>691</v>
      </c>
      <c r="C195" s="173" t="s">
        <v>853</v>
      </c>
      <c r="D195" s="66" t="s">
        <v>851</v>
      </c>
      <c r="E195" s="14" t="s">
        <v>95</v>
      </c>
      <c r="F195" s="11" t="s">
        <v>854</v>
      </c>
      <c r="G195" s="11" t="s">
        <v>855</v>
      </c>
      <c r="H195" s="27">
        <v>1</v>
      </c>
      <c r="I195" s="22" t="s">
        <v>98</v>
      </c>
      <c r="J195" s="23" t="s">
        <v>99</v>
      </c>
      <c r="K195" s="59">
        <v>4937.1899999999996</v>
      </c>
      <c r="L195" s="17">
        <f t="shared" si="41"/>
        <v>59246.28</v>
      </c>
      <c r="M195" s="17">
        <f>K195*60</f>
        <v>296231.39999999997</v>
      </c>
      <c r="N195" s="47" t="s">
        <v>44</v>
      </c>
      <c r="O195" s="60">
        <v>47435</v>
      </c>
    </row>
    <row r="196" spans="1:15" ht="34.5" customHeight="1">
      <c r="A196" s="64" t="s">
        <v>681</v>
      </c>
      <c r="B196" s="124" t="s">
        <v>691</v>
      </c>
      <c r="C196" s="173" t="s">
        <v>856</v>
      </c>
      <c r="D196" s="66" t="s">
        <v>851</v>
      </c>
      <c r="E196" s="14" t="s">
        <v>101</v>
      </c>
      <c r="F196" s="11" t="s">
        <v>857</v>
      </c>
      <c r="G196" s="11" t="s">
        <v>260</v>
      </c>
      <c r="H196" s="27">
        <v>0</v>
      </c>
      <c r="I196" s="22" t="s">
        <v>858</v>
      </c>
      <c r="J196" s="23" t="s">
        <v>526</v>
      </c>
      <c r="K196" s="59">
        <v>1567.5</v>
      </c>
      <c r="L196" s="17">
        <f t="shared" si="41"/>
        <v>18810</v>
      </c>
      <c r="M196" s="38">
        <f t="shared" ref="M196" si="49">K196*60</f>
        <v>94050</v>
      </c>
      <c r="N196" s="47" t="s">
        <v>44</v>
      </c>
      <c r="O196" s="60">
        <v>47295</v>
      </c>
    </row>
    <row r="197" spans="1:15" ht="34.5" customHeight="1">
      <c r="A197" s="11" t="s">
        <v>681</v>
      </c>
      <c r="B197" s="36" t="s">
        <v>691</v>
      </c>
      <c r="C197" s="11" t="s">
        <v>859</v>
      </c>
      <c r="D197" s="13" t="s">
        <v>860</v>
      </c>
      <c r="E197" s="14" t="s">
        <v>39</v>
      </c>
      <c r="F197" s="11" t="s">
        <v>861</v>
      </c>
      <c r="G197" s="11" t="s">
        <v>41</v>
      </c>
      <c r="H197" s="13">
        <v>0</v>
      </c>
      <c r="I197" s="22" t="s">
        <v>711</v>
      </c>
      <c r="J197" s="74" t="s">
        <v>712</v>
      </c>
      <c r="K197" s="17">
        <v>8784.5300000000007</v>
      </c>
      <c r="L197" s="17">
        <f t="shared" si="41"/>
        <v>105414.36000000002</v>
      </c>
      <c r="M197" s="38">
        <f>K197*60</f>
        <v>527071.80000000005</v>
      </c>
      <c r="N197" s="47" t="s">
        <v>44</v>
      </c>
      <c r="O197" s="25">
        <v>46477</v>
      </c>
    </row>
    <row r="198" spans="1:15" ht="34.5" customHeight="1">
      <c r="A198" s="11" t="s">
        <v>681</v>
      </c>
      <c r="B198" s="36" t="s">
        <v>691</v>
      </c>
      <c r="C198" s="173" t="s">
        <v>862</v>
      </c>
      <c r="D198" s="13" t="s">
        <v>860</v>
      </c>
      <c r="E198" s="14" t="s">
        <v>95</v>
      </c>
      <c r="F198" s="11" t="s">
        <v>863</v>
      </c>
      <c r="G198" s="11" t="s">
        <v>864</v>
      </c>
      <c r="H198" s="13">
        <v>1</v>
      </c>
      <c r="I198" s="22" t="s">
        <v>865</v>
      </c>
      <c r="J198" s="23" t="s">
        <v>99</v>
      </c>
      <c r="K198" s="17">
        <v>4928.82</v>
      </c>
      <c r="L198" s="17">
        <f t="shared" si="41"/>
        <v>59145.84</v>
      </c>
      <c r="M198" s="38">
        <f>K198*30</f>
        <v>147864.59999999998</v>
      </c>
      <c r="N198" s="47" t="s">
        <v>51</v>
      </c>
      <c r="O198" s="39">
        <v>46733</v>
      </c>
    </row>
    <row r="199" spans="1:15" ht="34.5" customHeight="1">
      <c r="A199" s="11" t="s">
        <v>681</v>
      </c>
      <c r="B199" s="36" t="s">
        <v>691</v>
      </c>
      <c r="C199" s="173" t="s">
        <v>866</v>
      </c>
      <c r="D199" s="13" t="s">
        <v>860</v>
      </c>
      <c r="E199" s="14" t="s">
        <v>101</v>
      </c>
      <c r="F199" s="11" t="s">
        <v>867</v>
      </c>
      <c r="G199" s="11" t="s">
        <v>260</v>
      </c>
      <c r="H199" s="13">
        <v>0</v>
      </c>
      <c r="I199" s="22" t="s">
        <v>858</v>
      </c>
      <c r="J199" s="23" t="s">
        <v>526</v>
      </c>
      <c r="K199" s="17">
        <v>2445.38</v>
      </c>
      <c r="L199" s="17">
        <f t="shared" si="41"/>
        <v>29344.560000000001</v>
      </c>
      <c r="M199" s="38">
        <f t="shared" ref="M199:M201" si="50">K199*60</f>
        <v>146722.80000000002</v>
      </c>
      <c r="N199" s="47" t="s">
        <v>44</v>
      </c>
      <c r="O199" s="39">
        <v>47295</v>
      </c>
    </row>
    <row r="200" spans="1:15" ht="34.5" customHeight="1">
      <c r="A200" s="11" t="s">
        <v>681</v>
      </c>
      <c r="B200" s="36" t="s">
        <v>716</v>
      </c>
      <c r="C200" s="11" t="s">
        <v>868</v>
      </c>
      <c r="D200" s="13" t="s">
        <v>869</v>
      </c>
      <c r="E200" s="14" t="s">
        <v>71</v>
      </c>
      <c r="F200" s="11" t="s">
        <v>870</v>
      </c>
      <c r="G200" s="11" t="s">
        <v>41</v>
      </c>
      <c r="H200" s="13">
        <v>0</v>
      </c>
      <c r="I200" s="11" t="s">
        <v>871</v>
      </c>
      <c r="J200" s="46" t="s">
        <v>721</v>
      </c>
      <c r="K200" s="17">
        <v>414.64</v>
      </c>
      <c r="L200" s="17">
        <f t="shared" si="41"/>
        <v>4975.68</v>
      </c>
      <c r="M200" s="38">
        <f t="shared" si="50"/>
        <v>24878.399999999998</v>
      </c>
      <c r="N200" s="47" t="s">
        <v>44</v>
      </c>
      <c r="O200" s="25">
        <v>46481</v>
      </c>
    </row>
    <row r="201" spans="1:15" ht="34.5" customHeight="1">
      <c r="A201" s="11" t="s">
        <v>681</v>
      </c>
      <c r="B201" s="36" t="s">
        <v>716</v>
      </c>
      <c r="C201" s="11" t="s">
        <v>872</v>
      </c>
      <c r="D201" s="13" t="s">
        <v>869</v>
      </c>
      <c r="E201" s="14" t="s">
        <v>39</v>
      </c>
      <c r="F201" s="11" t="s">
        <v>873</v>
      </c>
      <c r="G201" s="11" t="s">
        <v>41</v>
      </c>
      <c r="H201" s="13">
        <v>0</v>
      </c>
      <c r="I201" s="11" t="s">
        <v>874</v>
      </c>
      <c r="J201" s="46" t="s">
        <v>725</v>
      </c>
      <c r="K201" s="17">
        <v>8259.41</v>
      </c>
      <c r="L201" s="17">
        <f t="shared" si="41"/>
        <v>99112.92</v>
      </c>
      <c r="M201" s="38">
        <f t="shared" si="50"/>
        <v>495564.6</v>
      </c>
      <c r="N201" s="47" t="s">
        <v>44</v>
      </c>
      <c r="O201" s="25">
        <v>46480</v>
      </c>
    </row>
    <row r="202" spans="1:15" ht="34.5" customHeight="1">
      <c r="A202" s="11" t="s">
        <v>681</v>
      </c>
      <c r="B202" s="36" t="s">
        <v>716</v>
      </c>
      <c r="C202" s="173" t="s">
        <v>875</v>
      </c>
      <c r="D202" s="27" t="s">
        <v>869</v>
      </c>
      <c r="E202" s="14" t="s">
        <v>95</v>
      </c>
      <c r="F202" s="11" t="s">
        <v>876</v>
      </c>
      <c r="G202" s="11" t="s">
        <v>877</v>
      </c>
      <c r="H202" s="13">
        <v>1</v>
      </c>
      <c r="I202" s="11" t="s">
        <v>98</v>
      </c>
      <c r="J202" s="11" t="s">
        <v>99</v>
      </c>
      <c r="K202" s="17">
        <v>4888.75</v>
      </c>
      <c r="L202" s="17">
        <f t="shared" si="41"/>
        <v>58665</v>
      </c>
      <c r="M202" s="38">
        <f>K202*30</f>
        <v>146662.5</v>
      </c>
      <c r="N202" s="47" t="s">
        <v>51</v>
      </c>
      <c r="O202" s="100">
        <v>46870</v>
      </c>
    </row>
    <row r="203" spans="1:15" ht="34.5" customHeight="1">
      <c r="A203" s="11" t="s">
        <v>681</v>
      </c>
      <c r="B203" s="36" t="s">
        <v>691</v>
      </c>
      <c r="C203" s="11" t="s">
        <v>878</v>
      </c>
      <c r="D203" s="27" t="s">
        <v>879</v>
      </c>
      <c r="E203" s="14" t="s">
        <v>71</v>
      </c>
      <c r="F203" s="11" t="s">
        <v>880</v>
      </c>
      <c r="G203" s="11" t="s">
        <v>41</v>
      </c>
      <c r="H203" s="27">
        <v>0</v>
      </c>
      <c r="I203" s="11" t="s">
        <v>881</v>
      </c>
      <c r="J203" s="46" t="s">
        <v>882</v>
      </c>
      <c r="K203" s="59">
        <v>239.7</v>
      </c>
      <c r="L203" s="17">
        <f t="shared" si="41"/>
        <v>2876.3999999999996</v>
      </c>
      <c r="M203" s="38">
        <f t="shared" ref="M203:M204" si="51">K203*60</f>
        <v>14382</v>
      </c>
      <c r="N203" s="52" t="s">
        <v>44</v>
      </c>
      <c r="O203" s="60">
        <v>46537</v>
      </c>
    </row>
    <row r="204" spans="1:15" ht="34.5" customHeight="1">
      <c r="A204" s="11" t="s">
        <v>681</v>
      </c>
      <c r="B204" s="36" t="s">
        <v>691</v>
      </c>
      <c r="C204" s="11" t="s">
        <v>883</v>
      </c>
      <c r="D204" s="27" t="s">
        <v>879</v>
      </c>
      <c r="E204" s="14" t="s">
        <v>39</v>
      </c>
      <c r="F204" s="11" t="s">
        <v>884</v>
      </c>
      <c r="G204" s="11" t="s">
        <v>41</v>
      </c>
      <c r="H204" s="27">
        <v>0</v>
      </c>
      <c r="I204" s="22" t="s">
        <v>711</v>
      </c>
      <c r="J204" s="74" t="s">
        <v>712</v>
      </c>
      <c r="K204" s="59">
        <v>3504.84</v>
      </c>
      <c r="L204" s="17">
        <f t="shared" si="41"/>
        <v>42058.080000000002</v>
      </c>
      <c r="M204" s="38">
        <f t="shared" si="51"/>
        <v>210290.40000000002</v>
      </c>
      <c r="N204" s="24" t="s">
        <v>44</v>
      </c>
      <c r="O204" s="60">
        <v>46477</v>
      </c>
    </row>
    <row r="205" spans="1:15" ht="34.5" customHeight="1">
      <c r="A205" s="11" t="s">
        <v>681</v>
      </c>
      <c r="B205" s="36" t="s">
        <v>691</v>
      </c>
      <c r="C205" s="173" t="s">
        <v>885</v>
      </c>
      <c r="D205" s="13" t="s">
        <v>879</v>
      </c>
      <c r="E205" s="14" t="s">
        <v>95</v>
      </c>
      <c r="F205" s="11" t="s">
        <v>886</v>
      </c>
      <c r="G205" s="11" t="s">
        <v>887</v>
      </c>
      <c r="H205" s="13">
        <v>1</v>
      </c>
      <c r="I205" s="11" t="s">
        <v>98</v>
      </c>
      <c r="J205" s="46" t="s">
        <v>99</v>
      </c>
      <c r="K205" s="53">
        <v>5505.76</v>
      </c>
      <c r="L205" s="17">
        <f t="shared" si="41"/>
        <v>66069.119999999995</v>
      </c>
      <c r="M205" s="38">
        <f>K205*30</f>
        <v>165172.80000000002</v>
      </c>
      <c r="N205" s="54" t="s">
        <v>51</v>
      </c>
      <c r="O205" s="19">
        <v>46265</v>
      </c>
    </row>
    <row r="206" spans="1:15" ht="34.5" customHeight="1">
      <c r="A206" s="11" t="s">
        <v>681</v>
      </c>
      <c r="B206" s="36" t="s">
        <v>691</v>
      </c>
      <c r="C206" s="173" t="s">
        <v>888</v>
      </c>
      <c r="D206" s="13" t="s">
        <v>879</v>
      </c>
      <c r="E206" s="14" t="s">
        <v>101</v>
      </c>
      <c r="F206" s="11" t="s">
        <v>889</v>
      </c>
      <c r="G206" s="11" t="s">
        <v>699</v>
      </c>
      <c r="H206" s="13">
        <v>0</v>
      </c>
      <c r="I206" s="22" t="s">
        <v>525</v>
      </c>
      <c r="J206" s="23" t="s">
        <v>526</v>
      </c>
      <c r="K206" s="17">
        <v>1894.3330000000001</v>
      </c>
      <c r="L206" s="17">
        <f t="shared" si="41"/>
        <v>22731.995999999999</v>
      </c>
      <c r="M206" s="38">
        <f t="shared" ref="M206" si="52">K206*60</f>
        <v>113659.98000000001</v>
      </c>
      <c r="N206" s="24" t="s">
        <v>44</v>
      </c>
      <c r="O206" s="25">
        <v>47296</v>
      </c>
    </row>
    <row r="207" spans="1:15" ht="34.5" customHeight="1">
      <c r="A207" s="64" t="s">
        <v>890</v>
      </c>
      <c r="B207" s="36" t="s">
        <v>891</v>
      </c>
      <c r="C207" s="174" t="s">
        <v>892</v>
      </c>
      <c r="D207" s="13" t="s">
        <v>893</v>
      </c>
      <c r="E207" s="125" t="s">
        <v>224</v>
      </c>
      <c r="F207" s="13" t="s">
        <v>894</v>
      </c>
      <c r="G207" s="13" t="s">
        <v>895</v>
      </c>
      <c r="H207" s="13">
        <v>8</v>
      </c>
      <c r="I207" s="15" t="s">
        <v>896</v>
      </c>
      <c r="J207" s="15" t="s">
        <v>897</v>
      </c>
      <c r="K207" s="59">
        <v>117379.05</v>
      </c>
      <c r="L207" s="17">
        <v>1408548.6</v>
      </c>
      <c r="M207" s="17">
        <v>7042743</v>
      </c>
      <c r="N207" s="18" t="s">
        <v>44</v>
      </c>
      <c r="O207" s="19">
        <v>47378</v>
      </c>
    </row>
    <row r="208" spans="1:15" ht="34.5" customHeight="1">
      <c r="A208" s="64" t="s">
        <v>890</v>
      </c>
      <c r="B208" s="36" t="s">
        <v>898</v>
      </c>
      <c r="C208" s="174" t="s">
        <v>899</v>
      </c>
      <c r="D208" s="13" t="s">
        <v>900</v>
      </c>
      <c r="E208" s="125" t="s">
        <v>95</v>
      </c>
      <c r="F208" s="13" t="s">
        <v>901</v>
      </c>
      <c r="G208" s="13" t="s">
        <v>902</v>
      </c>
      <c r="H208" s="13">
        <v>1</v>
      </c>
      <c r="I208" s="15" t="s">
        <v>903</v>
      </c>
      <c r="J208" s="15" t="s">
        <v>904</v>
      </c>
      <c r="K208" s="59">
        <v>5196.6499999999996</v>
      </c>
      <c r="L208" s="17">
        <v>62359.8</v>
      </c>
      <c r="M208" s="17">
        <v>311799</v>
      </c>
      <c r="N208" s="18" t="s">
        <v>44</v>
      </c>
      <c r="O208" s="19">
        <v>47664</v>
      </c>
    </row>
    <row r="209" spans="1:15" ht="34.5" customHeight="1">
      <c r="A209" s="64" t="s">
        <v>890</v>
      </c>
      <c r="B209" s="36" t="s">
        <v>905</v>
      </c>
      <c r="C209" s="174" t="s">
        <v>906</v>
      </c>
      <c r="D209" s="13" t="s">
        <v>907</v>
      </c>
      <c r="E209" s="125" t="s">
        <v>224</v>
      </c>
      <c r="F209" s="13" t="s">
        <v>908</v>
      </c>
      <c r="G209" s="13" t="s">
        <v>909</v>
      </c>
      <c r="H209" s="13">
        <v>6</v>
      </c>
      <c r="I209" s="15" t="s">
        <v>910</v>
      </c>
      <c r="J209" s="15" t="s">
        <v>911</v>
      </c>
      <c r="K209" s="59">
        <v>65450.02</v>
      </c>
      <c r="L209" s="17">
        <v>785400.24</v>
      </c>
      <c r="M209" s="17">
        <v>785400.24</v>
      </c>
      <c r="N209" s="18" t="s">
        <v>36</v>
      </c>
      <c r="O209" s="19">
        <v>46237</v>
      </c>
    </row>
    <row r="210" spans="1:15" ht="34.5" customHeight="1">
      <c r="A210" s="64" t="s">
        <v>890</v>
      </c>
      <c r="B210" s="12" t="s">
        <v>912</v>
      </c>
      <c r="C210" s="174" t="s">
        <v>913</v>
      </c>
      <c r="D210" s="13" t="s">
        <v>914</v>
      </c>
      <c r="E210" s="125" t="s">
        <v>19</v>
      </c>
      <c r="F210" s="13" t="s">
        <v>915</v>
      </c>
      <c r="G210" s="13" t="s">
        <v>916</v>
      </c>
      <c r="H210" s="13">
        <v>7</v>
      </c>
      <c r="I210" s="15" t="s">
        <v>354</v>
      </c>
      <c r="J210" s="15" t="s">
        <v>355</v>
      </c>
      <c r="K210" s="59">
        <f>10782.23+13157.1/90*3</f>
        <v>11220.8</v>
      </c>
      <c r="L210" s="17">
        <f t="shared" si="41"/>
        <v>134649.59999999998</v>
      </c>
      <c r="M210" s="17">
        <f t="shared" ref="M210:M215" si="53">K210*30</f>
        <v>336624</v>
      </c>
      <c r="N210" s="18" t="s">
        <v>917</v>
      </c>
      <c r="O210" s="19">
        <v>46774</v>
      </c>
    </row>
    <row r="211" spans="1:15" ht="34.5" customHeight="1">
      <c r="A211" s="64" t="s">
        <v>890</v>
      </c>
      <c r="B211" s="12" t="s">
        <v>905</v>
      </c>
      <c r="C211" s="174" t="s">
        <v>913</v>
      </c>
      <c r="D211" s="13" t="s">
        <v>918</v>
      </c>
      <c r="E211" s="125" t="s">
        <v>19</v>
      </c>
      <c r="F211" s="13" t="s">
        <v>915</v>
      </c>
      <c r="G211" s="13" t="s">
        <v>916</v>
      </c>
      <c r="H211" s="13">
        <v>7</v>
      </c>
      <c r="I211" s="15" t="s">
        <v>354</v>
      </c>
      <c r="J211" s="15" t="s">
        <v>355</v>
      </c>
      <c r="K211" s="59">
        <f>10399.89+13139.1/90*3</f>
        <v>10837.859999999999</v>
      </c>
      <c r="L211" s="17">
        <f t="shared" si="41"/>
        <v>130054.31999999998</v>
      </c>
      <c r="M211" s="17">
        <f t="shared" si="53"/>
        <v>325135.8</v>
      </c>
      <c r="N211" s="18" t="s">
        <v>917</v>
      </c>
      <c r="O211" s="19">
        <v>46774</v>
      </c>
    </row>
    <row r="212" spans="1:15" ht="34.5" customHeight="1">
      <c r="A212" s="64" t="s">
        <v>890</v>
      </c>
      <c r="B212" s="12" t="s">
        <v>905</v>
      </c>
      <c r="C212" s="174" t="s">
        <v>913</v>
      </c>
      <c r="D212" s="13" t="s">
        <v>919</v>
      </c>
      <c r="E212" s="125" t="s">
        <v>19</v>
      </c>
      <c r="F212" s="13" t="s">
        <v>915</v>
      </c>
      <c r="G212" s="13" t="s">
        <v>916</v>
      </c>
      <c r="H212" s="13">
        <v>7</v>
      </c>
      <c r="I212" s="15" t="s">
        <v>354</v>
      </c>
      <c r="J212" s="15" t="s">
        <v>355</v>
      </c>
      <c r="K212" s="59">
        <f>10900.7+13139.1/90*3</f>
        <v>11338.67</v>
      </c>
      <c r="L212" s="17">
        <f t="shared" si="41"/>
        <v>136064.04</v>
      </c>
      <c r="M212" s="17">
        <f t="shared" si="53"/>
        <v>340160.1</v>
      </c>
      <c r="N212" s="18" t="s">
        <v>917</v>
      </c>
      <c r="O212" s="19">
        <v>46774</v>
      </c>
    </row>
    <row r="213" spans="1:15" ht="34.5" customHeight="1">
      <c r="A213" s="64" t="s">
        <v>890</v>
      </c>
      <c r="B213" s="12" t="s">
        <v>912</v>
      </c>
      <c r="C213" s="174" t="s">
        <v>913</v>
      </c>
      <c r="D213" s="13" t="s">
        <v>920</v>
      </c>
      <c r="E213" s="125" t="s">
        <v>19</v>
      </c>
      <c r="F213" s="13" t="s">
        <v>915</v>
      </c>
      <c r="G213" s="13" t="s">
        <v>916</v>
      </c>
      <c r="H213" s="13">
        <v>7</v>
      </c>
      <c r="I213" s="15" t="s">
        <v>354</v>
      </c>
      <c r="J213" s="15" t="s">
        <v>355</v>
      </c>
      <c r="K213" s="59">
        <f>11080.38+13157.1/90*3</f>
        <v>11518.949999999999</v>
      </c>
      <c r="L213" s="17">
        <f t="shared" si="41"/>
        <v>138227.4</v>
      </c>
      <c r="M213" s="17">
        <f t="shared" si="53"/>
        <v>345568.49999999994</v>
      </c>
      <c r="N213" s="18" t="s">
        <v>917</v>
      </c>
      <c r="O213" s="19">
        <v>46774</v>
      </c>
    </row>
    <row r="214" spans="1:15" ht="34.5" customHeight="1">
      <c r="A214" s="64" t="s">
        <v>890</v>
      </c>
      <c r="B214" s="12" t="s">
        <v>912</v>
      </c>
      <c r="C214" s="174" t="s">
        <v>913</v>
      </c>
      <c r="D214" s="13" t="s">
        <v>921</v>
      </c>
      <c r="E214" s="125" t="s">
        <v>19</v>
      </c>
      <c r="F214" s="13" t="s">
        <v>915</v>
      </c>
      <c r="G214" s="13" t="s">
        <v>916</v>
      </c>
      <c r="H214" s="13">
        <v>7</v>
      </c>
      <c r="I214" s="15" t="s">
        <v>354</v>
      </c>
      <c r="J214" s="15" t="s">
        <v>355</v>
      </c>
      <c r="K214" s="59">
        <f>13809.05+10874.83+6578.55/90*6</f>
        <v>25122.449999999997</v>
      </c>
      <c r="L214" s="17">
        <f t="shared" si="41"/>
        <v>301469.39999999997</v>
      </c>
      <c r="M214" s="17">
        <f t="shared" si="53"/>
        <v>753673.49999999988</v>
      </c>
      <c r="N214" s="18" t="s">
        <v>917</v>
      </c>
      <c r="O214" s="19">
        <v>46774</v>
      </c>
    </row>
    <row r="215" spans="1:15" ht="34.5" customHeight="1">
      <c r="A215" s="64" t="s">
        <v>890</v>
      </c>
      <c r="B215" s="12" t="s">
        <v>922</v>
      </c>
      <c r="C215" s="174" t="s">
        <v>913</v>
      </c>
      <c r="D215" s="13" t="s">
        <v>923</v>
      </c>
      <c r="E215" s="125" t="s">
        <v>19</v>
      </c>
      <c r="F215" s="13" t="s">
        <v>915</v>
      </c>
      <c r="G215" s="13" t="s">
        <v>916</v>
      </c>
      <c r="H215" s="13">
        <v>7</v>
      </c>
      <c r="I215" s="15" t="s">
        <v>354</v>
      </c>
      <c r="J215" s="15" t="s">
        <v>355</v>
      </c>
      <c r="K215" s="59">
        <f>11779.51+20198.7/90*3</f>
        <v>12452.8</v>
      </c>
      <c r="L215" s="17">
        <f t="shared" si="41"/>
        <v>149433.59999999998</v>
      </c>
      <c r="M215" s="17">
        <f t="shared" si="53"/>
        <v>373584</v>
      </c>
      <c r="N215" s="18" t="s">
        <v>917</v>
      </c>
      <c r="O215" s="19">
        <v>46774</v>
      </c>
    </row>
    <row r="216" spans="1:15" ht="34.5" customHeight="1">
      <c r="A216" s="64" t="s">
        <v>890</v>
      </c>
      <c r="B216" s="36" t="s">
        <v>912</v>
      </c>
      <c r="C216" s="174" t="s">
        <v>924</v>
      </c>
      <c r="D216" s="13" t="s">
        <v>921</v>
      </c>
      <c r="E216" s="126" t="s">
        <v>925</v>
      </c>
      <c r="F216" s="13" t="s">
        <v>926</v>
      </c>
      <c r="G216" s="13" t="s">
        <v>927</v>
      </c>
      <c r="H216" s="13">
        <v>12</v>
      </c>
      <c r="I216" s="15" t="s">
        <v>928</v>
      </c>
      <c r="J216" s="15" t="s">
        <v>929</v>
      </c>
      <c r="K216" s="59">
        <v>40068.629999999997</v>
      </c>
      <c r="L216" s="17">
        <f t="shared" si="41"/>
        <v>480823.55999999994</v>
      </c>
      <c r="M216" s="17">
        <f t="shared" ref="M216:M223" si="54">K216*12</f>
        <v>480823.55999999994</v>
      </c>
      <c r="N216" s="18" t="s">
        <v>36</v>
      </c>
      <c r="O216" s="19">
        <v>46144</v>
      </c>
    </row>
    <row r="217" spans="1:15" ht="34.5" customHeight="1">
      <c r="A217" s="64" t="s">
        <v>890</v>
      </c>
      <c r="B217" s="36" t="s">
        <v>912</v>
      </c>
      <c r="C217" s="174" t="s">
        <v>924</v>
      </c>
      <c r="D217" s="13" t="s">
        <v>921</v>
      </c>
      <c r="E217" s="45" t="s">
        <v>101</v>
      </c>
      <c r="F217" s="13" t="s">
        <v>926</v>
      </c>
      <c r="G217" s="13" t="s">
        <v>927</v>
      </c>
      <c r="H217" s="13">
        <v>12</v>
      </c>
      <c r="I217" s="15" t="s">
        <v>928</v>
      </c>
      <c r="J217" s="15" t="s">
        <v>929</v>
      </c>
      <c r="K217" s="59">
        <v>50614.58</v>
      </c>
      <c r="L217" s="17">
        <f t="shared" si="41"/>
        <v>607374.96</v>
      </c>
      <c r="M217" s="17">
        <f t="shared" si="54"/>
        <v>607374.96</v>
      </c>
      <c r="N217" s="18" t="s">
        <v>36</v>
      </c>
      <c r="O217" s="19">
        <v>46144</v>
      </c>
    </row>
    <row r="218" spans="1:15" ht="34.5" customHeight="1">
      <c r="A218" s="64" t="s">
        <v>890</v>
      </c>
      <c r="B218" s="36" t="s">
        <v>912</v>
      </c>
      <c r="C218" s="174" t="s">
        <v>924</v>
      </c>
      <c r="D218" s="13" t="s">
        <v>921</v>
      </c>
      <c r="E218" s="126" t="s">
        <v>930</v>
      </c>
      <c r="F218" s="13" t="s">
        <v>926</v>
      </c>
      <c r="G218" s="13" t="s">
        <v>927</v>
      </c>
      <c r="H218" s="13">
        <v>12</v>
      </c>
      <c r="I218" s="15" t="s">
        <v>928</v>
      </c>
      <c r="J218" s="15" t="s">
        <v>929</v>
      </c>
      <c r="K218" s="59">
        <v>21577.200000000001</v>
      </c>
      <c r="L218" s="17">
        <f t="shared" si="41"/>
        <v>258926.40000000002</v>
      </c>
      <c r="M218" s="17">
        <f t="shared" si="54"/>
        <v>258926.40000000002</v>
      </c>
      <c r="N218" s="18" t="s">
        <v>36</v>
      </c>
      <c r="O218" s="19">
        <v>46144</v>
      </c>
    </row>
    <row r="219" spans="1:15" ht="34.5" customHeight="1">
      <c r="A219" s="64" t="s">
        <v>890</v>
      </c>
      <c r="B219" s="36" t="s">
        <v>912</v>
      </c>
      <c r="C219" s="174" t="s">
        <v>924</v>
      </c>
      <c r="D219" s="13" t="s">
        <v>921</v>
      </c>
      <c r="E219" s="126" t="s">
        <v>931</v>
      </c>
      <c r="F219" s="13" t="s">
        <v>926</v>
      </c>
      <c r="G219" s="13" t="s">
        <v>927</v>
      </c>
      <c r="H219" s="13">
        <v>12</v>
      </c>
      <c r="I219" s="15" t="s">
        <v>928</v>
      </c>
      <c r="J219" s="15" t="s">
        <v>929</v>
      </c>
      <c r="K219" s="59">
        <v>2987.56</v>
      </c>
      <c r="L219" s="17">
        <f t="shared" si="41"/>
        <v>35850.720000000001</v>
      </c>
      <c r="M219" s="17">
        <f t="shared" si="54"/>
        <v>35850.720000000001</v>
      </c>
      <c r="N219" s="18" t="s">
        <v>36</v>
      </c>
      <c r="O219" s="19">
        <v>46144</v>
      </c>
    </row>
    <row r="220" spans="1:15" ht="34.5" customHeight="1">
      <c r="A220" s="64" t="s">
        <v>890</v>
      </c>
      <c r="B220" s="36" t="s">
        <v>912</v>
      </c>
      <c r="C220" s="174" t="s">
        <v>924</v>
      </c>
      <c r="D220" s="13" t="s">
        <v>921</v>
      </c>
      <c r="E220" s="126" t="s">
        <v>932</v>
      </c>
      <c r="F220" s="13" t="s">
        <v>926</v>
      </c>
      <c r="G220" s="13" t="s">
        <v>927</v>
      </c>
      <c r="H220" s="13">
        <v>12</v>
      </c>
      <c r="I220" s="15" t="s">
        <v>928</v>
      </c>
      <c r="J220" s="15" t="s">
        <v>929</v>
      </c>
      <c r="K220" s="59">
        <v>6488.05</v>
      </c>
      <c r="L220" s="17">
        <f t="shared" si="41"/>
        <v>77856.600000000006</v>
      </c>
      <c r="M220" s="17">
        <f t="shared" si="54"/>
        <v>77856.600000000006</v>
      </c>
      <c r="N220" s="18" t="s">
        <v>36</v>
      </c>
      <c r="O220" s="19">
        <v>46144</v>
      </c>
    </row>
    <row r="221" spans="1:15" ht="34.5" customHeight="1">
      <c r="A221" s="64" t="s">
        <v>890</v>
      </c>
      <c r="B221" s="36" t="s">
        <v>912</v>
      </c>
      <c r="C221" s="174" t="s">
        <v>924</v>
      </c>
      <c r="D221" s="13" t="s">
        <v>921</v>
      </c>
      <c r="E221" s="126" t="s">
        <v>933</v>
      </c>
      <c r="F221" s="13" t="s">
        <v>926</v>
      </c>
      <c r="G221" s="13" t="s">
        <v>927</v>
      </c>
      <c r="H221" s="13">
        <v>12</v>
      </c>
      <c r="I221" s="15" t="s">
        <v>928</v>
      </c>
      <c r="J221" s="15" t="s">
        <v>929</v>
      </c>
      <c r="K221" s="59">
        <v>366.6</v>
      </c>
      <c r="L221" s="17">
        <f t="shared" si="41"/>
        <v>4399.2000000000007</v>
      </c>
      <c r="M221" s="17">
        <f t="shared" si="54"/>
        <v>4399.2000000000007</v>
      </c>
      <c r="N221" s="18" t="s">
        <v>36</v>
      </c>
      <c r="O221" s="19">
        <v>46144</v>
      </c>
    </row>
    <row r="222" spans="1:15" ht="34.5" customHeight="1">
      <c r="A222" s="64" t="s">
        <v>890</v>
      </c>
      <c r="B222" s="36" t="s">
        <v>912</v>
      </c>
      <c r="C222" s="174" t="s">
        <v>924</v>
      </c>
      <c r="D222" s="13" t="s">
        <v>921</v>
      </c>
      <c r="E222" s="126" t="s">
        <v>934</v>
      </c>
      <c r="F222" s="13" t="s">
        <v>926</v>
      </c>
      <c r="G222" s="13" t="s">
        <v>927</v>
      </c>
      <c r="H222" s="13">
        <v>12</v>
      </c>
      <c r="I222" s="15" t="s">
        <v>928</v>
      </c>
      <c r="J222" s="15" t="s">
        <v>929</v>
      </c>
      <c r="K222" s="59">
        <v>4469.34</v>
      </c>
      <c r="L222" s="17">
        <f t="shared" si="41"/>
        <v>53632.08</v>
      </c>
      <c r="M222" s="17">
        <f t="shared" si="54"/>
        <v>53632.08</v>
      </c>
      <c r="N222" s="18" t="s">
        <v>36</v>
      </c>
      <c r="O222" s="19">
        <v>46144</v>
      </c>
    </row>
    <row r="223" spans="1:15" ht="34.5" customHeight="1">
      <c r="A223" s="64" t="s">
        <v>890</v>
      </c>
      <c r="B223" s="36" t="s">
        <v>912</v>
      </c>
      <c r="C223" s="174" t="s">
        <v>924</v>
      </c>
      <c r="D223" s="13" t="s">
        <v>921</v>
      </c>
      <c r="E223" s="14" t="s">
        <v>95</v>
      </c>
      <c r="F223" s="13" t="s">
        <v>926</v>
      </c>
      <c r="G223" s="13" t="s">
        <v>927</v>
      </c>
      <c r="H223" s="13">
        <v>12</v>
      </c>
      <c r="I223" s="15" t="s">
        <v>928</v>
      </c>
      <c r="J223" s="15" t="s">
        <v>929</v>
      </c>
      <c r="K223" s="59">
        <v>40544.69</v>
      </c>
      <c r="L223" s="17">
        <f t="shared" si="41"/>
        <v>486536.28</v>
      </c>
      <c r="M223" s="17">
        <f t="shared" si="54"/>
        <v>486536.28</v>
      </c>
      <c r="N223" s="18" t="s">
        <v>36</v>
      </c>
      <c r="O223" s="19">
        <v>46144</v>
      </c>
    </row>
    <row r="224" spans="1:15" ht="34.5" customHeight="1">
      <c r="A224" s="11" t="s">
        <v>890</v>
      </c>
      <c r="B224" s="36" t="s">
        <v>912</v>
      </c>
      <c r="C224" s="11" t="s">
        <v>935</v>
      </c>
      <c r="D224" s="13" t="s">
        <v>914</v>
      </c>
      <c r="E224" s="13" t="s">
        <v>71</v>
      </c>
      <c r="F224" s="11" t="s">
        <v>936</v>
      </c>
      <c r="G224" s="11" t="s">
        <v>41</v>
      </c>
      <c r="H224" s="27">
        <v>0</v>
      </c>
      <c r="I224" s="11" t="s">
        <v>937</v>
      </c>
      <c r="J224" s="11" t="s">
        <v>938</v>
      </c>
      <c r="K224" s="59">
        <v>116.93</v>
      </c>
      <c r="L224" s="17">
        <f t="shared" si="41"/>
        <v>1403.16</v>
      </c>
      <c r="M224" s="17">
        <f>K224*60</f>
        <v>7015.8</v>
      </c>
      <c r="N224" s="49" t="s">
        <v>80</v>
      </c>
      <c r="O224" s="60" t="s">
        <v>80</v>
      </c>
    </row>
    <row r="225" spans="1:15" ht="34.5" customHeight="1">
      <c r="A225" s="11" t="s">
        <v>890</v>
      </c>
      <c r="B225" s="36" t="s">
        <v>912</v>
      </c>
      <c r="C225" s="11" t="s">
        <v>939</v>
      </c>
      <c r="D225" s="13" t="s">
        <v>914</v>
      </c>
      <c r="E225" s="14" t="s">
        <v>39</v>
      </c>
      <c r="F225" s="11" t="s">
        <v>940</v>
      </c>
      <c r="G225" s="11" t="s">
        <v>41</v>
      </c>
      <c r="H225" s="27">
        <v>0</v>
      </c>
      <c r="I225" s="106" t="s">
        <v>941</v>
      </c>
      <c r="J225" s="23" t="s">
        <v>942</v>
      </c>
      <c r="K225" s="59">
        <v>4315.21</v>
      </c>
      <c r="L225" s="17">
        <f t="shared" si="41"/>
        <v>51782.520000000004</v>
      </c>
      <c r="M225" s="17">
        <f>K225*60</f>
        <v>258912.6</v>
      </c>
      <c r="N225" s="109" t="s">
        <v>44</v>
      </c>
      <c r="O225" s="60">
        <v>46481</v>
      </c>
    </row>
    <row r="226" spans="1:15" ht="34.5" customHeight="1">
      <c r="A226" s="11" t="s">
        <v>890</v>
      </c>
      <c r="B226" s="36" t="s">
        <v>912</v>
      </c>
      <c r="C226" s="173" t="s">
        <v>943</v>
      </c>
      <c r="D226" s="13" t="s">
        <v>914</v>
      </c>
      <c r="E226" s="14" t="s">
        <v>95</v>
      </c>
      <c r="F226" s="11" t="s">
        <v>944</v>
      </c>
      <c r="G226" s="11" t="s">
        <v>945</v>
      </c>
      <c r="H226" s="13">
        <v>1</v>
      </c>
      <c r="I226" s="29" t="s">
        <v>946</v>
      </c>
      <c r="J226" s="23" t="s">
        <v>947</v>
      </c>
      <c r="K226" s="17">
        <v>6204.01</v>
      </c>
      <c r="L226" s="17">
        <f t="shared" si="41"/>
        <v>74448.12</v>
      </c>
      <c r="M226" s="17">
        <f>K226*30</f>
        <v>186120.30000000002</v>
      </c>
      <c r="N226" s="109" t="s">
        <v>948</v>
      </c>
      <c r="O226" s="39">
        <v>45936</v>
      </c>
    </row>
    <row r="227" spans="1:15" ht="34.5" customHeight="1">
      <c r="A227" s="67" t="s">
        <v>890</v>
      </c>
      <c r="B227" s="130" t="s">
        <v>912</v>
      </c>
      <c r="C227" s="173" t="s">
        <v>949</v>
      </c>
      <c r="D227" s="68" t="s">
        <v>950</v>
      </c>
      <c r="E227" s="68" t="s">
        <v>224</v>
      </c>
      <c r="F227" s="67" t="s">
        <v>951</v>
      </c>
      <c r="G227" s="67" t="s">
        <v>952</v>
      </c>
      <c r="H227" s="13">
        <v>2</v>
      </c>
      <c r="I227" s="22" t="s">
        <v>953</v>
      </c>
      <c r="J227" s="23" t="s">
        <v>954</v>
      </c>
      <c r="K227" s="17">
        <v>19666.669999999998</v>
      </c>
      <c r="L227" s="17">
        <v>236000.03999999998</v>
      </c>
      <c r="M227" s="17">
        <v>1180000.2</v>
      </c>
      <c r="N227" s="24" t="s">
        <v>363</v>
      </c>
      <c r="O227" s="25">
        <v>47514</v>
      </c>
    </row>
    <row r="228" spans="1:15" ht="34.5" customHeight="1">
      <c r="A228" s="122" t="s">
        <v>890</v>
      </c>
      <c r="B228" s="36" t="s">
        <v>905</v>
      </c>
      <c r="C228" s="171" t="s">
        <v>955</v>
      </c>
      <c r="D228" s="13" t="s">
        <v>918</v>
      </c>
      <c r="E228" s="30" t="s">
        <v>95</v>
      </c>
      <c r="F228" s="122" t="s">
        <v>956</v>
      </c>
      <c r="G228" s="29" t="s">
        <v>957</v>
      </c>
      <c r="H228" s="13">
        <v>1</v>
      </c>
      <c r="I228" s="15" t="s">
        <v>958</v>
      </c>
      <c r="J228" s="15" t="s">
        <v>959</v>
      </c>
      <c r="K228" s="17">
        <v>22224.74</v>
      </c>
      <c r="L228" s="17">
        <f t="shared" ref="L228:L272" si="55">K228*12</f>
        <v>266696.88</v>
      </c>
      <c r="M228" s="17">
        <f>K228*30</f>
        <v>666742.20000000007</v>
      </c>
      <c r="N228" s="52" t="s">
        <v>51</v>
      </c>
      <c r="O228" s="39">
        <v>45936</v>
      </c>
    </row>
    <row r="229" spans="1:15" ht="34.5" customHeight="1">
      <c r="A229" s="67" t="s">
        <v>890</v>
      </c>
      <c r="B229" s="130" t="s">
        <v>905</v>
      </c>
      <c r="C229" s="175" t="s">
        <v>960</v>
      </c>
      <c r="D229" s="68" t="s">
        <v>918</v>
      </c>
      <c r="E229" s="14" t="s">
        <v>394</v>
      </c>
      <c r="F229" s="67" t="s">
        <v>961</v>
      </c>
      <c r="G229" s="11" t="s">
        <v>962</v>
      </c>
      <c r="H229" s="68">
        <v>0</v>
      </c>
      <c r="I229" s="67" t="s">
        <v>963</v>
      </c>
      <c r="J229" s="70" t="s">
        <v>964</v>
      </c>
      <c r="K229" s="17">
        <v>1241.54</v>
      </c>
      <c r="L229" s="17">
        <f t="shared" si="55"/>
        <v>14898.48</v>
      </c>
      <c r="M229" s="17">
        <f>K229*12</f>
        <v>14898.48</v>
      </c>
      <c r="N229" s="47" t="s">
        <v>36</v>
      </c>
      <c r="O229" s="100">
        <v>46146</v>
      </c>
    </row>
    <row r="230" spans="1:15" ht="34.5" customHeight="1">
      <c r="A230" s="67" t="s">
        <v>890</v>
      </c>
      <c r="B230" s="130" t="s">
        <v>905</v>
      </c>
      <c r="C230" s="173" t="s">
        <v>965</v>
      </c>
      <c r="D230" s="68" t="s">
        <v>918</v>
      </c>
      <c r="E230" s="14" t="s">
        <v>101</v>
      </c>
      <c r="F230" s="67" t="s">
        <v>966</v>
      </c>
      <c r="G230" s="11" t="s">
        <v>260</v>
      </c>
      <c r="H230" s="13">
        <v>0</v>
      </c>
      <c r="I230" s="11" t="s">
        <v>392</v>
      </c>
      <c r="J230" s="11" t="s">
        <v>105</v>
      </c>
      <c r="K230" s="17">
        <v>4606.66</v>
      </c>
      <c r="L230" s="17">
        <f t="shared" si="55"/>
        <v>55279.92</v>
      </c>
      <c r="M230" s="17">
        <f>K230*60</f>
        <v>276399.59999999998</v>
      </c>
      <c r="N230" s="47" t="s">
        <v>44</v>
      </c>
      <c r="O230" s="100">
        <v>47278</v>
      </c>
    </row>
    <row r="231" spans="1:15" ht="34.5" customHeight="1">
      <c r="A231" s="11" t="s">
        <v>890</v>
      </c>
      <c r="B231" s="26" t="s">
        <v>905</v>
      </c>
      <c r="C231" s="11" t="s">
        <v>967</v>
      </c>
      <c r="D231" s="27" t="s">
        <v>918</v>
      </c>
      <c r="E231" s="45" t="s">
        <v>71</v>
      </c>
      <c r="F231" s="11" t="s">
        <v>968</v>
      </c>
      <c r="G231" s="11" t="s">
        <v>41</v>
      </c>
      <c r="H231" s="13">
        <v>0</v>
      </c>
      <c r="I231" s="11" t="s">
        <v>969</v>
      </c>
      <c r="J231" s="23" t="s">
        <v>970</v>
      </c>
      <c r="K231" s="17">
        <v>4602.7299999999996</v>
      </c>
      <c r="L231" s="17">
        <f t="shared" si="55"/>
        <v>55232.759999999995</v>
      </c>
      <c r="M231" s="17">
        <f>K231*60</f>
        <v>276163.8</v>
      </c>
      <c r="N231" s="49" t="s">
        <v>44</v>
      </c>
      <c r="O231" s="39">
        <v>46471</v>
      </c>
    </row>
    <row r="232" spans="1:15" ht="34.5" customHeight="1">
      <c r="A232" s="11" t="s">
        <v>890</v>
      </c>
      <c r="B232" s="26" t="s">
        <v>905</v>
      </c>
      <c r="C232" s="11" t="s">
        <v>971</v>
      </c>
      <c r="D232" s="27" t="s">
        <v>918</v>
      </c>
      <c r="E232" s="45" t="s">
        <v>39</v>
      </c>
      <c r="F232" s="11" t="s">
        <v>972</v>
      </c>
      <c r="G232" s="11" t="s">
        <v>41</v>
      </c>
      <c r="H232" s="13">
        <v>0</v>
      </c>
      <c r="I232" s="11" t="s">
        <v>973</v>
      </c>
      <c r="J232" s="22" t="s">
        <v>974</v>
      </c>
      <c r="K232" s="17">
        <v>14410.42</v>
      </c>
      <c r="L232" s="17">
        <f t="shared" si="55"/>
        <v>172925.04</v>
      </c>
      <c r="M232" s="17">
        <f>K232*60</f>
        <v>864625.2</v>
      </c>
      <c r="N232" s="49" t="s">
        <v>44</v>
      </c>
      <c r="O232" s="39">
        <v>46511</v>
      </c>
    </row>
    <row r="233" spans="1:15" ht="34.5" customHeight="1">
      <c r="A233" s="11" t="s">
        <v>890</v>
      </c>
      <c r="B233" s="36" t="s">
        <v>905</v>
      </c>
      <c r="C233" s="173" t="s">
        <v>975</v>
      </c>
      <c r="D233" s="13" t="s">
        <v>918</v>
      </c>
      <c r="E233" s="14" t="s">
        <v>385</v>
      </c>
      <c r="F233" s="11" t="s">
        <v>976</v>
      </c>
      <c r="G233" s="11" t="s">
        <v>977</v>
      </c>
      <c r="H233" s="13">
        <v>0</v>
      </c>
      <c r="I233" s="22" t="s">
        <v>978</v>
      </c>
      <c r="J233" s="22" t="s">
        <v>979</v>
      </c>
      <c r="K233" s="17">
        <v>280</v>
      </c>
      <c r="L233" s="17">
        <f t="shared" si="55"/>
        <v>3360</v>
      </c>
      <c r="M233" s="17">
        <f>K233*12</f>
        <v>3360</v>
      </c>
      <c r="N233" s="24" t="s">
        <v>36</v>
      </c>
      <c r="O233" s="25">
        <v>46168</v>
      </c>
    </row>
    <row r="234" spans="1:15" ht="34.5" customHeight="1">
      <c r="A234" s="64" t="s">
        <v>890</v>
      </c>
      <c r="B234" s="36" t="s">
        <v>891</v>
      </c>
      <c r="C234" s="11" t="s">
        <v>843</v>
      </c>
      <c r="D234" s="13" t="s">
        <v>980</v>
      </c>
      <c r="E234" s="14" t="s">
        <v>981</v>
      </c>
      <c r="F234" s="11" t="s">
        <v>982</v>
      </c>
      <c r="G234" s="11"/>
      <c r="H234" s="13">
        <v>0</v>
      </c>
      <c r="I234" s="22" t="s">
        <v>983</v>
      </c>
      <c r="J234" s="23" t="s">
        <v>984</v>
      </c>
      <c r="K234" s="17">
        <v>20146</v>
      </c>
      <c r="L234" s="17">
        <f t="shared" si="55"/>
        <v>241752</v>
      </c>
      <c r="M234" s="38">
        <f>K234*60</f>
        <v>1208760</v>
      </c>
      <c r="N234" s="24" t="s">
        <v>44</v>
      </c>
      <c r="O234" s="25">
        <v>47163</v>
      </c>
    </row>
    <row r="235" spans="1:15" ht="34.5" customHeight="1">
      <c r="A235" s="11" t="s">
        <v>890</v>
      </c>
      <c r="B235" s="36" t="s">
        <v>891</v>
      </c>
      <c r="C235" s="11" t="s">
        <v>985</v>
      </c>
      <c r="D235" s="62" t="s">
        <v>986</v>
      </c>
      <c r="E235" s="45" t="s">
        <v>71</v>
      </c>
      <c r="F235" s="11" t="s">
        <v>987</v>
      </c>
      <c r="G235" s="11" t="s">
        <v>41</v>
      </c>
      <c r="H235" s="13">
        <v>0</v>
      </c>
      <c r="I235" s="22" t="s">
        <v>988</v>
      </c>
      <c r="J235" s="23" t="s">
        <v>989</v>
      </c>
      <c r="K235" s="17">
        <v>307.35000000000002</v>
      </c>
      <c r="L235" s="17">
        <f t="shared" si="55"/>
        <v>3688.2000000000003</v>
      </c>
      <c r="M235" s="38">
        <f>K235*60</f>
        <v>18441</v>
      </c>
      <c r="N235" s="95" t="s">
        <v>44</v>
      </c>
      <c r="O235" s="25">
        <v>46754</v>
      </c>
    </row>
    <row r="236" spans="1:15" ht="34.5" customHeight="1">
      <c r="A236" s="11" t="s">
        <v>890</v>
      </c>
      <c r="B236" s="36" t="s">
        <v>891</v>
      </c>
      <c r="C236" s="11" t="s">
        <v>990</v>
      </c>
      <c r="D236" s="62" t="s">
        <v>986</v>
      </c>
      <c r="E236" s="45" t="s">
        <v>39</v>
      </c>
      <c r="F236" s="11" t="s">
        <v>991</v>
      </c>
      <c r="G236" s="11" t="s">
        <v>41</v>
      </c>
      <c r="H236" s="13">
        <v>0</v>
      </c>
      <c r="I236" s="22" t="s">
        <v>992</v>
      </c>
      <c r="J236" s="23" t="s">
        <v>993</v>
      </c>
      <c r="K236" s="17">
        <v>426.4</v>
      </c>
      <c r="L236" s="17">
        <f t="shared" si="55"/>
        <v>5116.7999999999993</v>
      </c>
      <c r="M236" s="38">
        <f>K236*60</f>
        <v>25584</v>
      </c>
      <c r="N236" s="95" t="s">
        <v>44</v>
      </c>
      <c r="O236" s="25">
        <v>46784</v>
      </c>
    </row>
    <row r="237" spans="1:15" ht="34.5" customHeight="1">
      <c r="A237" s="11" t="s">
        <v>890</v>
      </c>
      <c r="B237" s="36" t="s">
        <v>891</v>
      </c>
      <c r="C237" s="173" t="s">
        <v>994</v>
      </c>
      <c r="D237" s="13" t="s">
        <v>986</v>
      </c>
      <c r="E237" s="14" t="s">
        <v>95</v>
      </c>
      <c r="F237" s="11" t="s">
        <v>995</v>
      </c>
      <c r="G237" s="11" t="s">
        <v>996</v>
      </c>
      <c r="H237" s="13">
        <v>1</v>
      </c>
      <c r="I237" s="15" t="s">
        <v>375</v>
      </c>
      <c r="J237" s="63" t="s">
        <v>376</v>
      </c>
      <c r="K237" s="17">
        <v>5374.23</v>
      </c>
      <c r="L237" s="17">
        <f t="shared" si="55"/>
        <v>64490.759999999995</v>
      </c>
      <c r="M237" s="38">
        <f>K237*30</f>
        <v>161226.9</v>
      </c>
      <c r="N237" s="24" t="s">
        <v>51</v>
      </c>
      <c r="O237" s="25">
        <v>46728</v>
      </c>
    </row>
    <row r="238" spans="1:15" ht="34.5" customHeight="1">
      <c r="A238" s="35" t="s">
        <v>890</v>
      </c>
      <c r="B238" s="40" t="s">
        <v>891</v>
      </c>
      <c r="C238" s="172" t="s">
        <v>997</v>
      </c>
      <c r="D238" s="41" t="s">
        <v>986</v>
      </c>
      <c r="E238" s="42" t="s">
        <v>101</v>
      </c>
      <c r="F238" s="35" t="s">
        <v>998</v>
      </c>
      <c r="G238" s="35" t="s">
        <v>999</v>
      </c>
      <c r="H238" s="41">
        <v>0</v>
      </c>
      <c r="I238" s="77" t="s">
        <v>1000</v>
      </c>
      <c r="J238" s="87" t="s">
        <v>105</v>
      </c>
      <c r="K238" s="80">
        <v>2770.8330000000001</v>
      </c>
      <c r="L238" s="44">
        <f t="shared" si="55"/>
        <v>33249.995999999999</v>
      </c>
      <c r="M238" s="38">
        <f>K238*60</f>
        <v>166249.98000000001</v>
      </c>
      <c r="N238" s="24" t="s">
        <v>44</v>
      </c>
      <c r="O238" s="21">
        <v>47285</v>
      </c>
    </row>
    <row r="239" spans="1:15" ht="34.5" customHeight="1">
      <c r="A239" s="11" t="s">
        <v>890</v>
      </c>
      <c r="B239" s="26" t="s">
        <v>891</v>
      </c>
      <c r="C239" s="173" t="s">
        <v>1001</v>
      </c>
      <c r="D239" s="27" t="s">
        <v>986</v>
      </c>
      <c r="E239" s="14" t="s">
        <v>394</v>
      </c>
      <c r="F239" s="11" t="s">
        <v>1002</v>
      </c>
      <c r="G239" s="11" t="s">
        <v>1003</v>
      </c>
      <c r="H239" s="13">
        <v>0</v>
      </c>
      <c r="I239" s="15" t="s">
        <v>1004</v>
      </c>
      <c r="J239" s="63" t="s">
        <v>795</v>
      </c>
      <c r="K239" s="17">
        <v>1166.6500000000001</v>
      </c>
      <c r="L239" s="17">
        <f t="shared" si="55"/>
        <v>13999.800000000001</v>
      </c>
      <c r="M239" s="38">
        <f>K239*12</f>
        <v>13999.800000000001</v>
      </c>
      <c r="N239" s="24" t="s">
        <v>36</v>
      </c>
      <c r="O239" s="25">
        <v>46332</v>
      </c>
    </row>
    <row r="240" spans="1:15" ht="34.5" customHeight="1">
      <c r="A240" s="11" t="s">
        <v>890</v>
      </c>
      <c r="B240" s="26" t="s">
        <v>905</v>
      </c>
      <c r="C240" s="11" t="s">
        <v>1005</v>
      </c>
      <c r="D240" s="27" t="s">
        <v>1006</v>
      </c>
      <c r="E240" s="45" t="s">
        <v>39</v>
      </c>
      <c r="F240" s="11" t="s">
        <v>1007</v>
      </c>
      <c r="G240" s="11" t="s">
        <v>41</v>
      </c>
      <c r="H240" s="27">
        <v>0</v>
      </c>
      <c r="I240" s="22" t="s">
        <v>1008</v>
      </c>
      <c r="J240" s="22" t="s">
        <v>974</v>
      </c>
      <c r="K240" s="59">
        <v>1397.04</v>
      </c>
      <c r="L240" s="17">
        <f t="shared" si="55"/>
        <v>16764.48</v>
      </c>
      <c r="M240" s="38">
        <f>K240*60</f>
        <v>83822.399999999994</v>
      </c>
      <c r="N240" s="24" t="s">
        <v>44</v>
      </c>
      <c r="O240" s="39">
        <v>47112</v>
      </c>
    </row>
    <row r="241" spans="1:15" ht="34.5" customHeight="1">
      <c r="A241" s="11" t="s">
        <v>890</v>
      </c>
      <c r="B241" s="26" t="s">
        <v>905</v>
      </c>
      <c r="C241" s="11" t="s">
        <v>1009</v>
      </c>
      <c r="D241" s="27" t="s">
        <v>1006</v>
      </c>
      <c r="E241" s="45" t="s">
        <v>71</v>
      </c>
      <c r="F241" s="11" t="s">
        <v>1010</v>
      </c>
      <c r="G241" s="11" t="s">
        <v>41</v>
      </c>
      <c r="H241" s="27">
        <v>0</v>
      </c>
      <c r="I241" s="22" t="s">
        <v>1011</v>
      </c>
      <c r="J241" s="22" t="s">
        <v>1012</v>
      </c>
      <c r="K241" s="59">
        <v>78.7</v>
      </c>
      <c r="L241" s="17">
        <f t="shared" si="55"/>
        <v>944.40000000000009</v>
      </c>
      <c r="M241" s="38">
        <f>K241*60</f>
        <v>4722</v>
      </c>
      <c r="N241" s="24" t="s">
        <v>44</v>
      </c>
      <c r="O241" s="39">
        <v>47276</v>
      </c>
    </row>
    <row r="242" spans="1:15" ht="34.5" customHeight="1">
      <c r="A242" s="11" t="s">
        <v>890</v>
      </c>
      <c r="B242" s="26" t="s">
        <v>905</v>
      </c>
      <c r="C242" s="173" t="s">
        <v>1013</v>
      </c>
      <c r="D242" s="27" t="s">
        <v>1006</v>
      </c>
      <c r="E242" s="14" t="s">
        <v>95</v>
      </c>
      <c r="F242" s="11" t="s">
        <v>1014</v>
      </c>
      <c r="G242" s="11" t="s">
        <v>1015</v>
      </c>
      <c r="H242" s="13">
        <v>1</v>
      </c>
      <c r="I242" s="15" t="s">
        <v>98</v>
      </c>
      <c r="J242" s="63" t="s">
        <v>99</v>
      </c>
      <c r="K242" s="17">
        <v>4906.8</v>
      </c>
      <c r="L242" s="17">
        <f t="shared" si="55"/>
        <v>58881.600000000006</v>
      </c>
      <c r="M242" s="38">
        <f>K242*60</f>
        <v>294408</v>
      </c>
      <c r="N242" s="47" t="s">
        <v>44</v>
      </c>
      <c r="O242" s="25">
        <v>47391</v>
      </c>
    </row>
    <row r="243" spans="1:15" ht="34.5" customHeight="1">
      <c r="A243" s="11" t="s">
        <v>890</v>
      </c>
      <c r="B243" s="26" t="s">
        <v>905</v>
      </c>
      <c r="C243" s="173" t="s">
        <v>1016</v>
      </c>
      <c r="D243" s="27" t="s">
        <v>1006</v>
      </c>
      <c r="E243" s="45" t="s">
        <v>101</v>
      </c>
      <c r="F243" s="11" t="s">
        <v>1017</v>
      </c>
      <c r="G243" s="11" t="s">
        <v>260</v>
      </c>
      <c r="H243" s="13">
        <v>0</v>
      </c>
      <c r="I243" s="22" t="s">
        <v>104</v>
      </c>
      <c r="J243" s="46" t="s">
        <v>105</v>
      </c>
      <c r="K243" s="17">
        <v>2083.5</v>
      </c>
      <c r="L243" s="17">
        <f t="shared" si="55"/>
        <v>25002</v>
      </c>
      <c r="M243" s="38">
        <f t="shared" ref="M243:M245" si="56">K243*60</f>
        <v>125010</v>
      </c>
      <c r="N243" s="47" t="s">
        <v>44</v>
      </c>
      <c r="O243" s="100">
        <v>47309</v>
      </c>
    </row>
    <row r="244" spans="1:15" ht="34.5" customHeight="1">
      <c r="A244" s="11" t="s">
        <v>890</v>
      </c>
      <c r="B244" s="36" t="s">
        <v>891</v>
      </c>
      <c r="C244" s="11" t="s">
        <v>1018</v>
      </c>
      <c r="D244" s="13" t="s">
        <v>1019</v>
      </c>
      <c r="E244" s="14" t="s">
        <v>71</v>
      </c>
      <c r="F244" s="11" t="s">
        <v>1020</v>
      </c>
      <c r="G244" s="11" t="s">
        <v>41</v>
      </c>
      <c r="H244" s="13">
        <v>0</v>
      </c>
      <c r="I244" s="22" t="s">
        <v>1021</v>
      </c>
      <c r="J244" s="22" t="s">
        <v>1022</v>
      </c>
      <c r="K244" s="17">
        <v>2508.9899999999998</v>
      </c>
      <c r="L244" s="17">
        <f t="shared" si="55"/>
        <v>30107.879999999997</v>
      </c>
      <c r="M244" s="38">
        <f t="shared" si="56"/>
        <v>150539.4</v>
      </c>
      <c r="N244" s="109" t="s">
        <v>44</v>
      </c>
      <c r="O244" s="25">
        <v>46475</v>
      </c>
    </row>
    <row r="245" spans="1:15" ht="34.5" customHeight="1">
      <c r="A245" s="11" t="s">
        <v>890</v>
      </c>
      <c r="B245" s="36" t="s">
        <v>891</v>
      </c>
      <c r="C245" s="11" t="s">
        <v>1023</v>
      </c>
      <c r="D245" s="13" t="s">
        <v>1019</v>
      </c>
      <c r="E245" s="14" t="s">
        <v>39</v>
      </c>
      <c r="F245" s="11" t="s">
        <v>1024</v>
      </c>
      <c r="G245" s="11" t="s">
        <v>41</v>
      </c>
      <c r="H245" s="13">
        <v>0</v>
      </c>
      <c r="I245" s="22" t="s">
        <v>1025</v>
      </c>
      <c r="J245" s="23" t="s">
        <v>1026</v>
      </c>
      <c r="K245" s="17">
        <v>750.5</v>
      </c>
      <c r="L245" s="17">
        <f t="shared" si="55"/>
        <v>9006</v>
      </c>
      <c r="M245" s="38">
        <f t="shared" si="56"/>
        <v>45030</v>
      </c>
      <c r="N245" s="109" t="s">
        <v>44</v>
      </c>
      <c r="O245" s="25">
        <v>46481</v>
      </c>
    </row>
    <row r="246" spans="1:15" ht="34.5" customHeight="1">
      <c r="A246" s="11" t="s">
        <v>890</v>
      </c>
      <c r="B246" s="26" t="s">
        <v>891</v>
      </c>
      <c r="C246" s="173" t="s">
        <v>1027</v>
      </c>
      <c r="D246" s="27" t="s">
        <v>1019</v>
      </c>
      <c r="E246" s="14" t="s">
        <v>95</v>
      </c>
      <c r="F246" s="11" t="s">
        <v>1028</v>
      </c>
      <c r="G246" s="11" t="s">
        <v>1029</v>
      </c>
      <c r="H246" s="13">
        <v>1</v>
      </c>
      <c r="I246" s="11" t="s">
        <v>375</v>
      </c>
      <c r="J246" s="46" t="s">
        <v>1030</v>
      </c>
      <c r="K246" s="17">
        <v>6553.17</v>
      </c>
      <c r="L246" s="17">
        <f t="shared" si="55"/>
        <v>78638.040000000008</v>
      </c>
      <c r="M246" s="38">
        <f>K246*30</f>
        <v>196595.1</v>
      </c>
      <c r="N246" s="81" t="s">
        <v>51</v>
      </c>
      <c r="O246" s="25">
        <v>46511</v>
      </c>
    </row>
    <row r="247" spans="1:15" ht="34.5" customHeight="1">
      <c r="A247" s="11" t="s">
        <v>890</v>
      </c>
      <c r="B247" s="26" t="s">
        <v>891</v>
      </c>
      <c r="C247" s="173" t="s">
        <v>1031</v>
      </c>
      <c r="D247" s="27" t="s">
        <v>1019</v>
      </c>
      <c r="E247" s="45" t="s">
        <v>101</v>
      </c>
      <c r="F247" s="11" t="s">
        <v>1032</v>
      </c>
      <c r="G247" s="11" t="s">
        <v>260</v>
      </c>
      <c r="H247" s="27">
        <v>0</v>
      </c>
      <c r="I247" s="22" t="s">
        <v>392</v>
      </c>
      <c r="J247" s="23" t="s">
        <v>105</v>
      </c>
      <c r="K247" s="59">
        <v>2294.56</v>
      </c>
      <c r="L247" s="17">
        <f t="shared" si="55"/>
        <v>27534.720000000001</v>
      </c>
      <c r="M247" s="38">
        <f t="shared" ref="M247:M248" si="57">K247*60</f>
        <v>137673.60000000001</v>
      </c>
      <c r="N247" s="47" t="s">
        <v>44</v>
      </c>
      <c r="O247" s="25">
        <v>47330</v>
      </c>
    </row>
    <row r="248" spans="1:15" ht="34.5" customHeight="1">
      <c r="A248" s="11" t="s">
        <v>890</v>
      </c>
      <c r="B248" s="36" t="s">
        <v>905</v>
      </c>
      <c r="C248" s="11" t="s">
        <v>1033</v>
      </c>
      <c r="D248" s="27" t="s">
        <v>919</v>
      </c>
      <c r="E248" s="45" t="s">
        <v>39</v>
      </c>
      <c r="F248" s="11" t="s">
        <v>1034</v>
      </c>
      <c r="G248" s="11" t="s">
        <v>41</v>
      </c>
      <c r="H248" s="27">
        <v>0</v>
      </c>
      <c r="I248" s="16" t="s">
        <v>1008</v>
      </c>
      <c r="J248" s="74" t="s">
        <v>974</v>
      </c>
      <c r="K248" s="59">
        <v>12597.02</v>
      </c>
      <c r="L248" s="17">
        <f t="shared" si="55"/>
        <v>151164.24</v>
      </c>
      <c r="M248" s="38">
        <f t="shared" si="57"/>
        <v>755821.20000000007</v>
      </c>
      <c r="N248" s="109" t="s">
        <v>44</v>
      </c>
      <c r="O248" s="60">
        <v>46475</v>
      </c>
    </row>
    <row r="249" spans="1:15" ht="34.5" customHeight="1">
      <c r="A249" s="11" t="s">
        <v>890</v>
      </c>
      <c r="B249" s="36" t="s">
        <v>905</v>
      </c>
      <c r="C249" s="173" t="s">
        <v>1035</v>
      </c>
      <c r="D249" s="27" t="s">
        <v>919</v>
      </c>
      <c r="E249" s="14" t="s">
        <v>95</v>
      </c>
      <c r="F249" s="11" t="s">
        <v>1036</v>
      </c>
      <c r="G249" s="11" t="s">
        <v>1037</v>
      </c>
      <c r="H249" s="13">
        <v>1</v>
      </c>
      <c r="I249" s="22" t="s">
        <v>487</v>
      </c>
      <c r="J249" s="46" t="s">
        <v>1038</v>
      </c>
      <c r="K249" s="17">
        <v>4374.47</v>
      </c>
      <c r="L249" s="17">
        <f t="shared" si="55"/>
        <v>52493.64</v>
      </c>
      <c r="M249" s="38">
        <f>K249*60</f>
        <v>262468.2</v>
      </c>
      <c r="N249" s="47" t="s">
        <v>44</v>
      </c>
      <c r="O249" s="100">
        <v>47427</v>
      </c>
    </row>
    <row r="250" spans="1:15" ht="34.5" customHeight="1">
      <c r="A250" s="11" t="s">
        <v>890</v>
      </c>
      <c r="B250" s="36" t="s">
        <v>905</v>
      </c>
      <c r="C250" s="173" t="s">
        <v>1039</v>
      </c>
      <c r="D250" s="27" t="s">
        <v>919</v>
      </c>
      <c r="E250" s="14" t="s">
        <v>101</v>
      </c>
      <c r="F250" s="11" t="s">
        <v>1040</v>
      </c>
      <c r="G250" s="11" t="s">
        <v>1041</v>
      </c>
      <c r="H250" s="13">
        <v>0</v>
      </c>
      <c r="I250" s="22" t="s">
        <v>392</v>
      </c>
      <c r="J250" s="46" t="s">
        <v>105</v>
      </c>
      <c r="K250" s="17">
        <v>1884.58</v>
      </c>
      <c r="L250" s="17">
        <f t="shared" si="55"/>
        <v>22614.959999999999</v>
      </c>
      <c r="M250" s="38">
        <f t="shared" ref="M250" si="58">K250*60</f>
        <v>113074.79999999999</v>
      </c>
      <c r="N250" s="47" t="s">
        <v>44</v>
      </c>
      <c r="O250" s="100">
        <v>47278</v>
      </c>
    </row>
    <row r="251" spans="1:15" ht="34.5" customHeight="1">
      <c r="A251" s="11" t="s">
        <v>890</v>
      </c>
      <c r="B251" s="36" t="s">
        <v>922</v>
      </c>
      <c r="C251" s="11" t="s">
        <v>1042</v>
      </c>
      <c r="D251" s="13" t="s">
        <v>1043</v>
      </c>
      <c r="E251" s="14" t="s">
        <v>71</v>
      </c>
      <c r="F251" s="11" t="s">
        <v>1044</v>
      </c>
      <c r="G251" s="11" t="s">
        <v>41</v>
      </c>
      <c r="H251" s="13">
        <v>0</v>
      </c>
      <c r="I251" s="22" t="s">
        <v>1045</v>
      </c>
      <c r="J251" s="11" t="s">
        <v>1046</v>
      </c>
      <c r="K251" s="17">
        <v>3374.56</v>
      </c>
      <c r="L251" s="17">
        <f t="shared" si="55"/>
        <v>40494.720000000001</v>
      </c>
      <c r="M251" s="38">
        <f>K251*60</f>
        <v>202473.60000000001</v>
      </c>
      <c r="N251" s="95" t="s">
        <v>44</v>
      </c>
      <c r="O251" s="25">
        <v>46550</v>
      </c>
    </row>
    <row r="252" spans="1:15" ht="34.5" customHeight="1">
      <c r="A252" s="11" t="s">
        <v>890</v>
      </c>
      <c r="B252" s="36" t="s">
        <v>922</v>
      </c>
      <c r="C252" s="11" t="s">
        <v>1047</v>
      </c>
      <c r="D252" s="13" t="s">
        <v>1043</v>
      </c>
      <c r="E252" s="45" t="s">
        <v>39</v>
      </c>
      <c r="F252" s="11" t="s">
        <v>1048</v>
      </c>
      <c r="G252" s="11" t="s">
        <v>41</v>
      </c>
      <c r="H252" s="13">
        <v>0</v>
      </c>
      <c r="I252" s="22" t="s">
        <v>1049</v>
      </c>
      <c r="J252" s="22" t="s">
        <v>1050</v>
      </c>
      <c r="K252" s="17">
        <v>3928.84</v>
      </c>
      <c r="L252" s="17">
        <f t="shared" si="55"/>
        <v>47146.080000000002</v>
      </c>
      <c r="M252" s="38">
        <f>K252*60</f>
        <v>235730.40000000002</v>
      </c>
      <c r="N252" s="49" t="s">
        <v>44</v>
      </c>
      <c r="O252" s="25">
        <v>46470</v>
      </c>
    </row>
    <row r="253" spans="1:15" ht="34.5" customHeight="1">
      <c r="A253" s="11" t="s">
        <v>890</v>
      </c>
      <c r="B253" s="26" t="s">
        <v>922</v>
      </c>
      <c r="C253" s="173" t="s">
        <v>1051</v>
      </c>
      <c r="D253" s="13" t="s">
        <v>1043</v>
      </c>
      <c r="E253" s="14" t="s">
        <v>95</v>
      </c>
      <c r="F253" s="11" t="s">
        <v>1052</v>
      </c>
      <c r="G253" s="11" t="s">
        <v>1053</v>
      </c>
      <c r="H253" s="13">
        <v>1</v>
      </c>
      <c r="I253" s="22" t="s">
        <v>561</v>
      </c>
      <c r="J253" s="22" t="s">
        <v>562</v>
      </c>
      <c r="K253" s="17">
        <v>4889.9799999999996</v>
      </c>
      <c r="L253" s="17">
        <f t="shared" si="55"/>
        <v>58679.759999999995</v>
      </c>
      <c r="M253" s="38">
        <f>K253*60</f>
        <v>293398.8</v>
      </c>
      <c r="N253" s="52" t="s">
        <v>363</v>
      </c>
      <c r="O253" s="25">
        <v>47363</v>
      </c>
    </row>
    <row r="254" spans="1:15" ht="34.5" customHeight="1">
      <c r="A254" s="11" t="s">
        <v>890</v>
      </c>
      <c r="B254" s="36" t="s">
        <v>922</v>
      </c>
      <c r="C254" s="173" t="s">
        <v>1054</v>
      </c>
      <c r="D254" s="13" t="s">
        <v>1043</v>
      </c>
      <c r="E254" s="14" t="s">
        <v>114</v>
      </c>
      <c r="F254" s="11" t="s">
        <v>1055</v>
      </c>
      <c r="G254" s="11" t="s">
        <v>1056</v>
      </c>
      <c r="H254" s="13">
        <v>1</v>
      </c>
      <c r="I254" s="22" t="s">
        <v>1057</v>
      </c>
      <c r="J254" s="23" t="s">
        <v>1058</v>
      </c>
      <c r="K254" s="17">
        <v>14819.78</v>
      </c>
      <c r="L254" s="17">
        <f t="shared" si="55"/>
        <v>177837.36000000002</v>
      </c>
      <c r="M254" s="38">
        <f t="shared" ref="M254:M256" si="59">K254*60</f>
        <v>889186.8</v>
      </c>
      <c r="N254" s="24" t="s">
        <v>44</v>
      </c>
      <c r="O254" s="25">
        <v>47330</v>
      </c>
    </row>
    <row r="255" spans="1:15" ht="34.5" customHeight="1">
      <c r="A255" s="11" t="s">
        <v>890</v>
      </c>
      <c r="B255" s="36" t="s">
        <v>891</v>
      </c>
      <c r="C255" s="11" t="s">
        <v>1059</v>
      </c>
      <c r="D255" s="13" t="s">
        <v>1060</v>
      </c>
      <c r="E255" s="83" t="s">
        <v>71</v>
      </c>
      <c r="F255" s="11" t="s">
        <v>1061</v>
      </c>
      <c r="G255" s="11" t="s">
        <v>41</v>
      </c>
      <c r="H255" s="13">
        <v>0</v>
      </c>
      <c r="I255" s="15" t="s">
        <v>1062</v>
      </c>
      <c r="J255" s="63" t="s">
        <v>1063</v>
      </c>
      <c r="K255" s="17">
        <v>520.84</v>
      </c>
      <c r="L255" s="17">
        <f t="shared" si="55"/>
        <v>6250.08</v>
      </c>
      <c r="M255" s="38">
        <f t="shared" si="59"/>
        <v>31250.400000000001</v>
      </c>
      <c r="N255" s="95" t="s">
        <v>44</v>
      </c>
      <c r="O255" s="25">
        <v>46575</v>
      </c>
    </row>
    <row r="256" spans="1:15" ht="34.5" customHeight="1">
      <c r="A256" s="11" t="s">
        <v>890</v>
      </c>
      <c r="B256" s="36" t="s">
        <v>891</v>
      </c>
      <c r="C256" s="11" t="s">
        <v>1064</v>
      </c>
      <c r="D256" s="13" t="s">
        <v>1060</v>
      </c>
      <c r="E256" s="14" t="s">
        <v>39</v>
      </c>
      <c r="F256" s="11" t="s">
        <v>1065</v>
      </c>
      <c r="G256" s="11" t="s">
        <v>41</v>
      </c>
      <c r="H256" s="13">
        <v>0</v>
      </c>
      <c r="I256" s="15" t="s">
        <v>1066</v>
      </c>
      <c r="J256" s="63" t="s">
        <v>1026</v>
      </c>
      <c r="K256" s="17">
        <v>3158.51</v>
      </c>
      <c r="L256" s="17">
        <f t="shared" si="55"/>
        <v>37902.120000000003</v>
      </c>
      <c r="M256" s="38">
        <f t="shared" si="59"/>
        <v>189510.6</v>
      </c>
      <c r="N256" s="109" t="s">
        <v>44</v>
      </c>
      <c r="O256" s="25">
        <v>46549</v>
      </c>
    </row>
    <row r="257" spans="1:15" ht="34.5" customHeight="1">
      <c r="A257" s="11" t="s">
        <v>890</v>
      </c>
      <c r="B257" s="36" t="s">
        <v>891</v>
      </c>
      <c r="C257" s="173" t="s">
        <v>1067</v>
      </c>
      <c r="D257" s="13" t="s">
        <v>1060</v>
      </c>
      <c r="E257" s="14" t="s">
        <v>95</v>
      </c>
      <c r="F257" s="11" t="s">
        <v>1068</v>
      </c>
      <c r="G257" s="11" t="s">
        <v>1069</v>
      </c>
      <c r="H257" s="13">
        <v>1</v>
      </c>
      <c r="I257" s="11" t="s">
        <v>375</v>
      </c>
      <c r="J257" s="46" t="s">
        <v>376</v>
      </c>
      <c r="K257" s="17">
        <v>4907.9799999999996</v>
      </c>
      <c r="L257" s="17">
        <f t="shared" si="55"/>
        <v>58895.759999999995</v>
      </c>
      <c r="M257" s="38">
        <f>K257*30</f>
        <v>147239.4</v>
      </c>
      <c r="N257" s="24" t="s">
        <v>51</v>
      </c>
      <c r="O257" s="25">
        <v>46539</v>
      </c>
    </row>
    <row r="258" spans="1:15" ht="34.5" customHeight="1">
      <c r="A258" s="11" t="s">
        <v>890</v>
      </c>
      <c r="B258" s="36" t="s">
        <v>898</v>
      </c>
      <c r="C258" s="173" t="s">
        <v>1070</v>
      </c>
      <c r="D258" s="13" t="s">
        <v>1060</v>
      </c>
      <c r="E258" s="45" t="s">
        <v>101</v>
      </c>
      <c r="F258" s="11" t="s">
        <v>1071</v>
      </c>
      <c r="G258" s="11" t="s">
        <v>193</v>
      </c>
      <c r="H258" s="13">
        <v>0</v>
      </c>
      <c r="I258" s="15" t="s">
        <v>1072</v>
      </c>
      <c r="J258" s="15" t="s">
        <v>1073</v>
      </c>
      <c r="K258" s="17">
        <v>1788</v>
      </c>
      <c r="L258" s="17">
        <f t="shared" si="55"/>
        <v>21456</v>
      </c>
      <c r="M258" s="38">
        <f>K258*60</f>
        <v>107280</v>
      </c>
      <c r="N258" s="47" t="s">
        <v>44</v>
      </c>
      <c r="O258" s="25">
        <v>47615</v>
      </c>
    </row>
    <row r="259" spans="1:15" ht="34.5" customHeight="1">
      <c r="A259" s="11" t="s">
        <v>890</v>
      </c>
      <c r="B259" s="36" t="s">
        <v>905</v>
      </c>
      <c r="C259" s="11" t="s">
        <v>1074</v>
      </c>
      <c r="D259" s="13" t="s">
        <v>1075</v>
      </c>
      <c r="E259" s="45" t="s">
        <v>39</v>
      </c>
      <c r="F259" s="11" t="s">
        <v>1076</v>
      </c>
      <c r="G259" s="11" t="s">
        <v>41</v>
      </c>
      <c r="H259" s="13">
        <v>0</v>
      </c>
      <c r="I259" s="22" t="s">
        <v>745</v>
      </c>
      <c r="J259" s="23" t="s">
        <v>704</v>
      </c>
      <c r="K259" s="59">
        <v>2227.75</v>
      </c>
      <c r="L259" s="17">
        <f>K259*12</f>
        <v>26733</v>
      </c>
      <c r="M259" s="38">
        <f>K259*60</f>
        <v>133665</v>
      </c>
      <c r="N259" s="95" t="s">
        <v>80</v>
      </c>
      <c r="O259" s="60" t="s">
        <v>80</v>
      </c>
    </row>
    <row r="260" spans="1:15" ht="34.5" customHeight="1">
      <c r="A260" s="11" t="s">
        <v>890</v>
      </c>
      <c r="B260" s="26" t="s">
        <v>905</v>
      </c>
      <c r="C260" s="173" t="s">
        <v>1077</v>
      </c>
      <c r="D260" s="13" t="s">
        <v>1075</v>
      </c>
      <c r="E260" s="14" t="s">
        <v>95</v>
      </c>
      <c r="F260" s="11" t="s">
        <v>1078</v>
      </c>
      <c r="G260" s="11" t="s">
        <v>1079</v>
      </c>
      <c r="H260" s="27">
        <v>1</v>
      </c>
      <c r="I260" s="22" t="s">
        <v>1080</v>
      </c>
      <c r="J260" s="22" t="s">
        <v>1081</v>
      </c>
      <c r="K260" s="59">
        <v>5463.01</v>
      </c>
      <c r="L260" s="17">
        <f t="shared" si="55"/>
        <v>65556.12</v>
      </c>
      <c r="M260" s="17">
        <f>K260*30</f>
        <v>163890.30000000002</v>
      </c>
      <c r="N260" s="52" t="s">
        <v>51</v>
      </c>
      <c r="O260" s="39">
        <v>46596</v>
      </c>
    </row>
    <row r="261" spans="1:15" ht="34.5" customHeight="1">
      <c r="A261" s="11" t="s">
        <v>890</v>
      </c>
      <c r="B261" s="65" t="s">
        <v>912</v>
      </c>
      <c r="C261" s="11" t="s">
        <v>1082</v>
      </c>
      <c r="D261" s="13" t="s">
        <v>920</v>
      </c>
      <c r="E261" s="14" t="s">
        <v>71</v>
      </c>
      <c r="F261" s="11" t="s">
        <v>1083</v>
      </c>
      <c r="G261" s="11" t="s">
        <v>41</v>
      </c>
      <c r="H261" s="13">
        <v>0</v>
      </c>
      <c r="I261" s="11" t="s">
        <v>1084</v>
      </c>
      <c r="J261" s="46" t="s">
        <v>1085</v>
      </c>
      <c r="K261" s="17">
        <v>4345</v>
      </c>
      <c r="L261" s="17">
        <f t="shared" si="55"/>
        <v>52140</v>
      </c>
      <c r="M261" s="38">
        <f>K261*60</f>
        <v>260700</v>
      </c>
      <c r="N261" s="95" t="s">
        <v>44</v>
      </c>
      <c r="O261" s="25">
        <v>46550</v>
      </c>
    </row>
    <row r="262" spans="1:15" ht="34.5" customHeight="1">
      <c r="A262" s="11" t="s">
        <v>890</v>
      </c>
      <c r="B262" s="65" t="s">
        <v>912</v>
      </c>
      <c r="C262" s="11" t="s">
        <v>1086</v>
      </c>
      <c r="D262" s="13" t="s">
        <v>920</v>
      </c>
      <c r="E262" s="14" t="s">
        <v>39</v>
      </c>
      <c r="F262" s="11" t="s">
        <v>1087</v>
      </c>
      <c r="G262" s="11" t="s">
        <v>41</v>
      </c>
      <c r="H262" s="30">
        <v>0</v>
      </c>
      <c r="I262" s="22" t="s">
        <v>1088</v>
      </c>
      <c r="J262" s="22" t="s">
        <v>1089</v>
      </c>
      <c r="K262" s="17">
        <v>13023.56</v>
      </c>
      <c r="L262" s="17">
        <f t="shared" si="55"/>
        <v>156282.72</v>
      </c>
      <c r="M262" s="38">
        <f t="shared" ref="M262:M263" si="60">K262*60</f>
        <v>781413.6</v>
      </c>
      <c r="N262" s="109" t="s">
        <v>44</v>
      </c>
      <c r="O262" s="25">
        <v>46476</v>
      </c>
    </row>
    <row r="263" spans="1:15" ht="34.5" customHeight="1">
      <c r="A263" s="11" t="s">
        <v>890</v>
      </c>
      <c r="B263" s="36" t="s">
        <v>912</v>
      </c>
      <c r="C263" s="173" t="s">
        <v>1090</v>
      </c>
      <c r="D263" s="27" t="s">
        <v>920</v>
      </c>
      <c r="E263" s="14" t="s">
        <v>95</v>
      </c>
      <c r="F263" s="11" t="s">
        <v>1091</v>
      </c>
      <c r="G263" s="11" t="s">
        <v>1092</v>
      </c>
      <c r="H263" s="135">
        <v>1</v>
      </c>
      <c r="I263" s="11" t="s">
        <v>375</v>
      </c>
      <c r="J263" s="46" t="s">
        <v>376</v>
      </c>
      <c r="K263" s="17">
        <v>4841.7</v>
      </c>
      <c r="L263" s="17">
        <f t="shared" si="55"/>
        <v>58100.399999999994</v>
      </c>
      <c r="M263" s="38">
        <f t="shared" si="60"/>
        <v>290502</v>
      </c>
      <c r="N263" s="47" t="s">
        <v>44</v>
      </c>
      <c r="O263" s="100">
        <v>47376</v>
      </c>
    </row>
    <row r="264" spans="1:15" ht="34.5" customHeight="1">
      <c r="A264" s="11" t="s">
        <v>890</v>
      </c>
      <c r="B264" s="36" t="s">
        <v>912</v>
      </c>
      <c r="C264" s="173" t="s">
        <v>1093</v>
      </c>
      <c r="D264" s="13" t="s">
        <v>920</v>
      </c>
      <c r="E264" s="45" t="s">
        <v>101</v>
      </c>
      <c r="F264" s="11" t="s">
        <v>1094</v>
      </c>
      <c r="G264" s="11" t="s">
        <v>193</v>
      </c>
      <c r="H264" s="13">
        <v>0</v>
      </c>
      <c r="I264" s="15" t="s">
        <v>1072</v>
      </c>
      <c r="J264" s="15" t="s">
        <v>1073</v>
      </c>
      <c r="K264" s="17">
        <v>4361.53</v>
      </c>
      <c r="L264" s="17">
        <f t="shared" si="55"/>
        <v>52338.36</v>
      </c>
      <c r="M264" s="38">
        <f>K264*60</f>
        <v>261691.8</v>
      </c>
      <c r="N264" s="47" t="s">
        <v>44</v>
      </c>
      <c r="O264" s="25">
        <v>47615</v>
      </c>
    </row>
    <row r="265" spans="1:15" ht="34.5" customHeight="1">
      <c r="A265" s="11" t="s">
        <v>890</v>
      </c>
      <c r="B265" s="36" t="s">
        <v>891</v>
      </c>
      <c r="C265" s="11" t="s">
        <v>1095</v>
      </c>
      <c r="D265" s="13" t="s">
        <v>1096</v>
      </c>
      <c r="E265" s="45" t="s">
        <v>71</v>
      </c>
      <c r="F265" s="11" t="s">
        <v>1097</v>
      </c>
      <c r="G265" s="11" t="s">
        <v>41</v>
      </c>
      <c r="H265" s="13">
        <v>0</v>
      </c>
      <c r="I265" s="106" t="s">
        <v>1098</v>
      </c>
      <c r="J265" s="46" t="s">
        <v>1099</v>
      </c>
      <c r="K265" s="17">
        <v>335.68</v>
      </c>
      <c r="L265" s="17">
        <f t="shared" si="55"/>
        <v>4028.16</v>
      </c>
      <c r="M265" s="38">
        <f>K265*60</f>
        <v>20140.8</v>
      </c>
      <c r="N265" s="109" t="s">
        <v>44</v>
      </c>
      <c r="O265" s="25">
        <v>46550</v>
      </c>
    </row>
    <row r="266" spans="1:15" ht="34.5" customHeight="1">
      <c r="A266" s="11" t="s">
        <v>890</v>
      </c>
      <c r="B266" s="36" t="s">
        <v>891</v>
      </c>
      <c r="C266" s="11" t="s">
        <v>1100</v>
      </c>
      <c r="D266" s="13" t="s">
        <v>1096</v>
      </c>
      <c r="E266" s="45" t="s">
        <v>39</v>
      </c>
      <c r="F266" s="11" t="s">
        <v>1101</v>
      </c>
      <c r="G266" s="11" t="s">
        <v>41</v>
      </c>
      <c r="H266" s="13">
        <v>0</v>
      </c>
      <c r="I266" s="22" t="s">
        <v>1102</v>
      </c>
      <c r="J266" s="23" t="s">
        <v>1103</v>
      </c>
      <c r="K266" s="17">
        <v>4583.93</v>
      </c>
      <c r="L266" s="17">
        <f t="shared" si="55"/>
        <v>55007.16</v>
      </c>
      <c r="M266" s="38">
        <f>K266*60</f>
        <v>275035.80000000005</v>
      </c>
      <c r="N266" s="109" t="s">
        <v>44</v>
      </c>
      <c r="O266" s="25">
        <v>46470</v>
      </c>
    </row>
    <row r="267" spans="1:15" ht="34.5" customHeight="1">
      <c r="A267" s="11" t="s">
        <v>890</v>
      </c>
      <c r="B267" s="36" t="s">
        <v>891</v>
      </c>
      <c r="C267" s="173" t="s">
        <v>1104</v>
      </c>
      <c r="D267" s="13" t="s">
        <v>1096</v>
      </c>
      <c r="E267" s="14" t="s">
        <v>95</v>
      </c>
      <c r="F267" s="11" t="s">
        <v>1105</v>
      </c>
      <c r="G267" s="11" t="s">
        <v>1106</v>
      </c>
      <c r="H267" s="13">
        <v>1</v>
      </c>
      <c r="I267" s="22" t="s">
        <v>1107</v>
      </c>
      <c r="J267" s="23" t="s">
        <v>190</v>
      </c>
      <c r="K267" s="17">
        <v>5096.84</v>
      </c>
      <c r="L267" s="17">
        <f t="shared" si="55"/>
        <v>61162.080000000002</v>
      </c>
      <c r="M267" s="38">
        <f>K267*60</f>
        <v>305810.40000000002</v>
      </c>
      <c r="N267" s="47" t="s">
        <v>1108</v>
      </c>
      <c r="O267" s="25">
        <v>47573</v>
      </c>
    </row>
    <row r="268" spans="1:15" ht="34.5" customHeight="1">
      <c r="A268" s="11" t="s">
        <v>890</v>
      </c>
      <c r="B268" s="36" t="s">
        <v>891</v>
      </c>
      <c r="C268" s="173" t="s">
        <v>1109</v>
      </c>
      <c r="D268" s="13" t="s">
        <v>1096</v>
      </c>
      <c r="E268" s="45" t="s">
        <v>101</v>
      </c>
      <c r="F268" s="11" t="s">
        <v>1110</v>
      </c>
      <c r="G268" s="11" t="s">
        <v>260</v>
      </c>
      <c r="H268" s="13">
        <v>0</v>
      </c>
      <c r="I268" s="22" t="s">
        <v>525</v>
      </c>
      <c r="J268" s="23" t="s">
        <v>526</v>
      </c>
      <c r="K268" s="17">
        <v>2346.08</v>
      </c>
      <c r="L268" s="17">
        <f t="shared" si="55"/>
        <v>28152.959999999999</v>
      </c>
      <c r="M268" s="38">
        <f t="shared" ref="M268" si="61">K268*60</f>
        <v>140764.79999999999</v>
      </c>
      <c r="N268" s="47" t="s">
        <v>44</v>
      </c>
      <c r="O268" s="25">
        <v>47330</v>
      </c>
    </row>
    <row r="269" spans="1:15" ht="34.5" customHeight="1">
      <c r="A269" s="62" t="s">
        <v>890</v>
      </c>
      <c r="B269" s="36" t="s">
        <v>912</v>
      </c>
      <c r="C269" s="11" t="s">
        <v>1111</v>
      </c>
      <c r="D269" s="27" t="s">
        <v>921</v>
      </c>
      <c r="E269" s="14" t="s">
        <v>39</v>
      </c>
      <c r="F269" s="11" t="s">
        <v>1112</v>
      </c>
      <c r="G269" s="11" t="s">
        <v>41</v>
      </c>
      <c r="H269" s="13">
        <v>0</v>
      </c>
      <c r="I269" s="15" t="s">
        <v>1113</v>
      </c>
      <c r="J269" s="46" t="s">
        <v>942</v>
      </c>
      <c r="K269" s="17">
        <v>36353.760000000002</v>
      </c>
      <c r="L269" s="17">
        <f t="shared" si="55"/>
        <v>436245.12</v>
      </c>
      <c r="M269" s="38">
        <f>K269*60</f>
        <v>2181225.6</v>
      </c>
      <c r="N269" s="95" t="s">
        <v>44</v>
      </c>
      <c r="O269" s="25">
        <v>46550</v>
      </c>
    </row>
    <row r="270" spans="1:15" ht="34.5" customHeight="1">
      <c r="A270" s="11" t="s">
        <v>890</v>
      </c>
      <c r="B270" s="36" t="s">
        <v>891</v>
      </c>
      <c r="C270" s="11" t="s">
        <v>1114</v>
      </c>
      <c r="D270" s="13" t="s">
        <v>1115</v>
      </c>
      <c r="E270" s="45" t="s">
        <v>71</v>
      </c>
      <c r="F270" s="11" t="s">
        <v>1116</v>
      </c>
      <c r="G270" s="11" t="s">
        <v>41</v>
      </c>
      <c r="H270" s="13">
        <v>0</v>
      </c>
      <c r="I270" s="22" t="s">
        <v>1117</v>
      </c>
      <c r="J270" s="22" t="s">
        <v>1022</v>
      </c>
      <c r="K270" s="17">
        <v>354.6</v>
      </c>
      <c r="L270" s="17">
        <f t="shared" si="55"/>
        <v>4255.2000000000007</v>
      </c>
      <c r="M270" s="17">
        <f t="shared" ref="M270:M271" si="62">K270*60</f>
        <v>21276</v>
      </c>
      <c r="N270" s="49" t="s">
        <v>44</v>
      </c>
      <c r="O270" s="25">
        <v>46470</v>
      </c>
    </row>
    <row r="271" spans="1:15" ht="34.5" customHeight="1">
      <c r="A271" s="11" t="s">
        <v>890</v>
      </c>
      <c r="B271" s="36" t="s">
        <v>891</v>
      </c>
      <c r="C271" s="11" t="s">
        <v>1118</v>
      </c>
      <c r="D271" s="13" t="s">
        <v>1115</v>
      </c>
      <c r="E271" s="45" t="s">
        <v>39</v>
      </c>
      <c r="F271" s="11" t="s">
        <v>1119</v>
      </c>
      <c r="G271" s="11" t="s">
        <v>41</v>
      </c>
      <c r="H271" s="13">
        <v>0</v>
      </c>
      <c r="I271" s="22" t="s">
        <v>1120</v>
      </c>
      <c r="J271" s="22" t="s">
        <v>1121</v>
      </c>
      <c r="K271" s="17">
        <v>52933.15</v>
      </c>
      <c r="L271" s="17">
        <f t="shared" si="55"/>
        <v>635197.80000000005</v>
      </c>
      <c r="M271" s="17">
        <f t="shared" si="62"/>
        <v>3175989</v>
      </c>
      <c r="N271" s="109" t="s">
        <v>44</v>
      </c>
      <c r="O271" s="25">
        <v>46535</v>
      </c>
    </row>
    <row r="272" spans="1:15" ht="34.5" customHeight="1">
      <c r="A272" s="11" t="s">
        <v>890</v>
      </c>
      <c r="B272" s="36" t="s">
        <v>898</v>
      </c>
      <c r="C272" s="173" t="s">
        <v>1122</v>
      </c>
      <c r="D272" s="13" t="s">
        <v>1115</v>
      </c>
      <c r="E272" s="83" t="s">
        <v>95</v>
      </c>
      <c r="F272" s="11" t="s">
        <v>1123</v>
      </c>
      <c r="G272" s="11" t="s">
        <v>1124</v>
      </c>
      <c r="H272" s="13">
        <v>1</v>
      </c>
      <c r="I272" s="22" t="s">
        <v>375</v>
      </c>
      <c r="J272" s="23" t="s">
        <v>376</v>
      </c>
      <c r="K272" s="17">
        <v>4759.9799999999996</v>
      </c>
      <c r="L272" s="17">
        <f t="shared" si="55"/>
        <v>57119.759999999995</v>
      </c>
      <c r="M272" s="38">
        <f>K272*12</f>
        <v>57119.759999999995</v>
      </c>
      <c r="N272" s="47" t="s">
        <v>36</v>
      </c>
      <c r="O272" s="25">
        <v>46372</v>
      </c>
    </row>
    <row r="273" spans="1:15" ht="34.5" customHeight="1">
      <c r="A273" s="35" t="s">
        <v>1125</v>
      </c>
      <c r="B273" s="71" t="s">
        <v>898</v>
      </c>
      <c r="C273" s="172" t="s">
        <v>1126</v>
      </c>
      <c r="D273" s="49" t="s">
        <v>1115</v>
      </c>
      <c r="E273" s="42" t="s">
        <v>101</v>
      </c>
      <c r="F273" s="35" t="s">
        <v>1127</v>
      </c>
      <c r="G273" s="35" t="s">
        <v>260</v>
      </c>
      <c r="H273" s="49">
        <v>0</v>
      </c>
      <c r="I273" s="88" t="s">
        <v>392</v>
      </c>
      <c r="J273" s="89" t="s">
        <v>105</v>
      </c>
      <c r="K273" s="57">
        <v>3037.5</v>
      </c>
      <c r="L273" s="44">
        <f t="shared" ref="L273:L310" si="63">K273*12</f>
        <v>36450</v>
      </c>
      <c r="M273" s="38">
        <f t="shared" ref="M273:M275" si="64">K273*60</f>
        <v>182250</v>
      </c>
      <c r="N273" s="54" t="s">
        <v>44</v>
      </c>
      <c r="O273" s="39">
        <v>47330</v>
      </c>
    </row>
    <row r="274" spans="1:15" ht="34.5" customHeight="1">
      <c r="A274" s="11" t="s">
        <v>890</v>
      </c>
      <c r="B274" s="36" t="s">
        <v>891</v>
      </c>
      <c r="C274" s="173" t="s">
        <v>1128</v>
      </c>
      <c r="D274" s="13" t="s">
        <v>1129</v>
      </c>
      <c r="E274" s="14" t="s">
        <v>101</v>
      </c>
      <c r="F274" s="11" t="s">
        <v>1130</v>
      </c>
      <c r="G274" s="11" t="s">
        <v>260</v>
      </c>
      <c r="H274" s="13">
        <v>0</v>
      </c>
      <c r="I274" s="22" t="s">
        <v>392</v>
      </c>
      <c r="J274" s="22" t="s">
        <v>105</v>
      </c>
      <c r="K274" s="59">
        <v>2156.6666666666601</v>
      </c>
      <c r="L274" s="17">
        <f t="shared" si="63"/>
        <v>25879.99999999992</v>
      </c>
      <c r="M274" s="38">
        <f t="shared" si="64"/>
        <v>129399.99999999961</v>
      </c>
      <c r="N274" s="136" t="s">
        <v>44</v>
      </c>
      <c r="O274" s="39">
        <v>47308</v>
      </c>
    </row>
    <row r="275" spans="1:15" ht="34.5" customHeight="1">
      <c r="A275" s="11" t="s">
        <v>890</v>
      </c>
      <c r="B275" s="36" t="s">
        <v>891</v>
      </c>
      <c r="C275" s="11" t="s">
        <v>1131</v>
      </c>
      <c r="D275" s="13" t="s">
        <v>1129</v>
      </c>
      <c r="E275" s="14" t="s">
        <v>39</v>
      </c>
      <c r="F275" s="11" t="s">
        <v>1132</v>
      </c>
      <c r="G275" s="22" t="s">
        <v>41</v>
      </c>
      <c r="H275" s="13">
        <v>0</v>
      </c>
      <c r="I275" s="22" t="s">
        <v>1133</v>
      </c>
      <c r="J275" s="22" t="s">
        <v>1134</v>
      </c>
      <c r="K275" s="17">
        <v>886.36</v>
      </c>
      <c r="L275" s="17">
        <f t="shared" si="63"/>
        <v>10636.32</v>
      </c>
      <c r="M275" s="38">
        <f t="shared" si="64"/>
        <v>53181.599999999999</v>
      </c>
      <c r="N275" s="52" t="s">
        <v>44</v>
      </c>
      <c r="O275" s="39">
        <v>47101</v>
      </c>
    </row>
    <row r="276" spans="1:15" ht="34.5" customHeight="1">
      <c r="A276" s="11" t="s">
        <v>890</v>
      </c>
      <c r="B276" s="36" t="s">
        <v>891</v>
      </c>
      <c r="C276" s="11" t="s">
        <v>1135</v>
      </c>
      <c r="D276" s="13" t="s">
        <v>1136</v>
      </c>
      <c r="E276" s="14" t="s">
        <v>71</v>
      </c>
      <c r="F276" s="11" t="s">
        <v>1137</v>
      </c>
      <c r="G276" s="11" t="s">
        <v>41</v>
      </c>
      <c r="H276" s="13">
        <v>0</v>
      </c>
      <c r="I276" s="22" t="s">
        <v>1138</v>
      </c>
      <c r="J276" s="11" t="s">
        <v>1139</v>
      </c>
      <c r="K276" s="17">
        <v>336.41</v>
      </c>
      <c r="L276" s="17">
        <f t="shared" si="63"/>
        <v>4036.92</v>
      </c>
      <c r="M276" s="38">
        <f t="shared" ref="M276:M277" si="65">K276*60</f>
        <v>20184.600000000002</v>
      </c>
      <c r="N276" s="95" t="s">
        <v>44</v>
      </c>
      <c r="O276" s="25">
        <v>46508</v>
      </c>
    </row>
    <row r="277" spans="1:15" ht="34.5" customHeight="1">
      <c r="A277" s="11" t="s">
        <v>890</v>
      </c>
      <c r="B277" s="36" t="s">
        <v>891</v>
      </c>
      <c r="C277" s="11" t="s">
        <v>1140</v>
      </c>
      <c r="D277" s="13" t="s">
        <v>1136</v>
      </c>
      <c r="E277" s="14" t="s">
        <v>39</v>
      </c>
      <c r="F277" s="11" t="s">
        <v>1141</v>
      </c>
      <c r="G277" s="11" t="s">
        <v>41</v>
      </c>
      <c r="H277" s="13">
        <v>0</v>
      </c>
      <c r="I277" s="22" t="s">
        <v>1142</v>
      </c>
      <c r="J277" s="22" t="s">
        <v>1026</v>
      </c>
      <c r="K277" s="17">
        <v>4428.99</v>
      </c>
      <c r="L277" s="17">
        <f t="shared" si="63"/>
        <v>53147.88</v>
      </c>
      <c r="M277" s="38">
        <f t="shared" si="65"/>
        <v>265739.39999999997</v>
      </c>
      <c r="N277" s="109" t="s">
        <v>44</v>
      </c>
      <c r="O277" s="25">
        <v>46473</v>
      </c>
    </row>
    <row r="278" spans="1:15" ht="34.5" customHeight="1">
      <c r="A278" s="11" t="s">
        <v>890</v>
      </c>
      <c r="B278" s="36" t="s">
        <v>898</v>
      </c>
      <c r="C278" s="173" t="s">
        <v>1143</v>
      </c>
      <c r="D278" s="27" t="s">
        <v>1136</v>
      </c>
      <c r="E278" s="14" t="s">
        <v>95</v>
      </c>
      <c r="F278" s="11" t="s">
        <v>1144</v>
      </c>
      <c r="G278" s="11" t="s">
        <v>1145</v>
      </c>
      <c r="H278" s="27">
        <v>1</v>
      </c>
      <c r="I278" s="11" t="s">
        <v>1146</v>
      </c>
      <c r="J278" s="11" t="s">
        <v>1147</v>
      </c>
      <c r="K278" s="53">
        <v>6865.24</v>
      </c>
      <c r="L278" s="17">
        <f t="shared" si="63"/>
        <v>82382.880000000005</v>
      </c>
      <c r="M278" s="38">
        <f>K278*30</f>
        <v>205957.19999999998</v>
      </c>
      <c r="N278" s="81" t="s">
        <v>51</v>
      </c>
      <c r="O278" s="60">
        <v>46496</v>
      </c>
    </row>
    <row r="279" spans="1:15" ht="34.5" customHeight="1">
      <c r="A279" s="11" t="s">
        <v>890</v>
      </c>
      <c r="B279" s="36" t="s">
        <v>898</v>
      </c>
      <c r="C279" s="173" t="s">
        <v>1148</v>
      </c>
      <c r="D279" s="27" t="s">
        <v>1136</v>
      </c>
      <c r="E279" s="45" t="s">
        <v>101</v>
      </c>
      <c r="F279" s="11" t="s">
        <v>1149</v>
      </c>
      <c r="G279" s="11" t="s">
        <v>193</v>
      </c>
      <c r="H279" s="13">
        <v>0</v>
      </c>
      <c r="I279" s="15" t="s">
        <v>1072</v>
      </c>
      <c r="J279" s="15" t="s">
        <v>1073</v>
      </c>
      <c r="K279" s="17">
        <v>1892.5</v>
      </c>
      <c r="L279" s="17">
        <f t="shared" si="63"/>
        <v>22710</v>
      </c>
      <c r="M279" s="38">
        <f>K279*60</f>
        <v>113550</v>
      </c>
      <c r="N279" s="47" t="s">
        <v>44</v>
      </c>
      <c r="O279" s="25">
        <v>47615</v>
      </c>
    </row>
    <row r="280" spans="1:15" ht="34.5" customHeight="1">
      <c r="A280" s="11" t="s">
        <v>890</v>
      </c>
      <c r="B280" s="36" t="s">
        <v>891</v>
      </c>
      <c r="C280" s="173" t="s">
        <v>1150</v>
      </c>
      <c r="D280" s="13" t="s">
        <v>1151</v>
      </c>
      <c r="E280" s="14" t="s">
        <v>95</v>
      </c>
      <c r="F280" s="11" t="s">
        <v>1152</v>
      </c>
      <c r="G280" s="11" t="s">
        <v>1153</v>
      </c>
      <c r="H280" s="13">
        <v>8</v>
      </c>
      <c r="I280" s="22" t="s">
        <v>1154</v>
      </c>
      <c r="J280" s="22" t="s">
        <v>1155</v>
      </c>
      <c r="K280" s="17">
        <v>31696.38</v>
      </c>
      <c r="L280" s="17">
        <f t="shared" si="63"/>
        <v>380356.56</v>
      </c>
      <c r="M280" s="38">
        <f>K280*30</f>
        <v>950891.4</v>
      </c>
      <c r="N280" s="47" t="s">
        <v>51</v>
      </c>
      <c r="O280" s="25">
        <v>46895</v>
      </c>
    </row>
    <row r="281" spans="1:15" ht="34.5" customHeight="1">
      <c r="A281" s="11" t="s">
        <v>890</v>
      </c>
      <c r="B281" s="36" t="s">
        <v>891</v>
      </c>
      <c r="C281" s="11" t="s">
        <v>1156</v>
      </c>
      <c r="D281" s="13" t="s">
        <v>1151</v>
      </c>
      <c r="E281" s="14" t="s">
        <v>1157</v>
      </c>
      <c r="F281" s="11" t="s">
        <v>1158</v>
      </c>
      <c r="G281" s="11" t="s">
        <v>1159</v>
      </c>
      <c r="H281" s="13">
        <v>0</v>
      </c>
      <c r="I281" s="22" t="s">
        <v>1160</v>
      </c>
      <c r="J281" s="23" t="s">
        <v>1161</v>
      </c>
      <c r="K281" s="17">
        <v>324204.25</v>
      </c>
      <c r="L281" s="17">
        <f t="shared" si="63"/>
        <v>3890451</v>
      </c>
      <c r="M281" s="17">
        <f>K281*60</f>
        <v>19452255</v>
      </c>
      <c r="N281" s="24" t="s">
        <v>363</v>
      </c>
      <c r="O281" s="25">
        <v>47450</v>
      </c>
    </row>
    <row r="282" spans="1:15" ht="34.5" customHeight="1">
      <c r="A282" s="11" t="s">
        <v>890</v>
      </c>
      <c r="B282" s="26" t="s">
        <v>891</v>
      </c>
      <c r="C282" s="11" t="s">
        <v>1162</v>
      </c>
      <c r="D282" s="13" t="s">
        <v>1163</v>
      </c>
      <c r="E282" s="45" t="s">
        <v>71</v>
      </c>
      <c r="F282" s="11" t="s">
        <v>1164</v>
      </c>
      <c r="G282" s="11" t="s">
        <v>41</v>
      </c>
      <c r="H282" s="13">
        <v>0</v>
      </c>
      <c r="I282" s="22" t="s">
        <v>1165</v>
      </c>
      <c r="J282" s="23" t="s">
        <v>1166</v>
      </c>
      <c r="K282" s="17">
        <v>139.01</v>
      </c>
      <c r="L282" s="17">
        <f t="shared" si="63"/>
        <v>1668.12</v>
      </c>
      <c r="M282" s="17">
        <f t="shared" ref="M282:M284" si="66">K282*60</f>
        <v>8340.5999999999985</v>
      </c>
      <c r="N282" s="109" t="s">
        <v>44</v>
      </c>
      <c r="O282" s="25">
        <v>46481</v>
      </c>
    </row>
    <row r="283" spans="1:15" ht="34.5" customHeight="1">
      <c r="A283" s="11" t="s">
        <v>890</v>
      </c>
      <c r="B283" s="26" t="s">
        <v>891</v>
      </c>
      <c r="C283" s="11" t="s">
        <v>1167</v>
      </c>
      <c r="D283" s="13" t="s">
        <v>1163</v>
      </c>
      <c r="E283" s="45" t="s">
        <v>39</v>
      </c>
      <c r="F283" s="11" t="s">
        <v>1168</v>
      </c>
      <c r="G283" s="11" t="s">
        <v>41</v>
      </c>
      <c r="H283" s="13">
        <v>0</v>
      </c>
      <c r="I283" s="22" t="s">
        <v>1169</v>
      </c>
      <c r="J283" s="23" t="s">
        <v>1121</v>
      </c>
      <c r="K283" s="17">
        <v>36184.68</v>
      </c>
      <c r="L283" s="17">
        <f t="shared" si="63"/>
        <v>434216.16000000003</v>
      </c>
      <c r="M283" s="17">
        <f t="shared" si="66"/>
        <v>2171080.7999999998</v>
      </c>
      <c r="N283" s="49" t="s">
        <v>44</v>
      </c>
      <c r="O283" s="25">
        <v>46556</v>
      </c>
    </row>
    <row r="284" spans="1:15" ht="34.5" customHeight="1">
      <c r="A284" s="137" t="s">
        <v>890</v>
      </c>
      <c r="B284" s="138" t="s">
        <v>891</v>
      </c>
      <c r="C284" s="179" t="s">
        <v>1170</v>
      </c>
      <c r="D284" s="139" t="s">
        <v>1163</v>
      </c>
      <c r="E284" s="48" t="s">
        <v>95</v>
      </c>
      <c r="F284" s="35" t="s">
        <v>1171</v>
      </c>
      <c r="G284" s="35" t="s">
        <v>1172</v>
      </c>
      <c r="H284" s="140">
        <v>1</v>
      </c>
      <c r="I284" s="94" t="s">
        <v>1173</v>
      </c>
      <c r="J284" s="35" t="s">
        <v>562</v>
      </c>
      <c r="K284" s="17">
        <v>5042.24</v>
      </c>
      <c r="L284" s="44">
        <f t="shared" si="63"/>
        <v>60506.879999999997</v>
      </c>
      <c r="M284" s="17">
        <f t="shared" si="66"/>
        <v>302534.39999999997</v>
      </c>
      <c r="N284" s="141" t="s">
        <v>44</v>
      </c>
      <c r="O284" s="39">
        <v>47348</v>
      </c>
    </row>
    <row r="285" spans="1:15" ht="34.5" customHeight="1">
      <c r="A285" s="11" t="s">
        <v>890</v>
      </c>
      <c r="B285" s="36" t="s">
        <v>898</v>
      </c>
      <c r="C285" s="173" t="s">
        <v>1174</v>
      </c>
      <c r="D285" s="27" t="s">
        <v>1163</v>
      </c>
      <c r="E285" s="45" t="s">
        <v>101</v>
      </c>
      <c r="F285" s="11" t="s">
        <v>1175</v>
      </c>
      <c r="G285" s="11" t="s">
        <v>193</v>
      </c>
      <c r="H285" s="13">
        <v>0</v>
      </c>
      <c r="I285" s="15" t="s">
        <v>1072</v>
      </c>
      <c r="J285" s="15" t="s">
        <v>1073</v>
      </c>
      <c r="K285" s="17">
        <v>1936.3330000000001</v>
      </c>
      <c r="L285" s="17">
        <f t="shared" si="63"/>
        <v>23235.995999999999</v>
      </c>
      <c r="M285" s="38">
        <f>K285*60</f>
        <v>116179.98000000001</v>
      </c>
      <c r="N285" s="47" t="s">
        <v>44</v>
      </c>
      <c r="O285" s="25">
        <v>47615</v>
      </c>
    </row>
    <row r="286" spans="1:15" ht="34.5" customHeight="1">
      <c r="A286" s="11" t="s">
        <v>890</v>
      </c>
      <c r="B286" s="36" t="s">
        <v>905</v>
      </c>
      <c r="C286" s="11" t="s">
        <v>1176</v>
      </c>
      <c r="D286" s="13" t="s">
        <v>1177</v>
      </c>
      <c r="E286" s="14" t="s">
        <v>71</v>
      </c>
      <c r="F286" s="11" t="s">
        <v>1178</v>
      </c>
      <c r="G286" s="11" t="s">
        <v>41</v>
      </c>
      <c r="H286" s="13">
        <v>0</v>
      </c>
      <c r="I286" s="22" t="s">
        <v>1179</v>
      </c>
      <c r="J286" s="23" t="s">
        <v>1180</v>
      </c>
      <c r="K286" s="17">
        <v>244.09</v>
      </c>
      <c r="L286" s="17">
        <f t="shared" si="63"/>
        <v>2929.08</v>
      </c>
      <c r="M286" s="38">
        <f>K286*60</f>
        <v>14645.4</v>
      </c>
      <c r="N286" s="109" t="s">
        <v>44</v>
      </c>
      <c r="O286" s="25">
        <v>46511</v>
      </c>
    </row>
    <row r="287" spans="1:15" ht="34.5" customHeight="1">
      <c r="A287" s="11" t="s">
        <v>890</v>
      </c>
      <c r="B287" s="36" t="s">
        <v>905</v>
      </c>
      <c r="C287" s="11" t="s">
        <v>1181</v>
      </c>
      <c r="D287" s="13" t="s">
        <v>1177</v>
      </c>
      <c r="E287" s="14" t="s">
        <v>39</v>
      </c>
      <c r="F287" s="11" t="s">
        <v>1182</v>
      </c>
      <c r="G287" s="11" t="s">
        <v>41</v>
      </c>
      <c r="H287" s="13">
        <v>0</v>
      </c>
      <c r="I287" s="22" t="s">
        <v>1008</v>
      </c>
      <c r="J287" s="23" t="s">
        <v>974</v>
      </c>
      <c r="K287" s="17">
        <v>3423.01</v>
      </c>
      <c r="L287" s="17">
        <f t="shared" si="63"/>
        <v>41076.120000000003</v>
      </c>
      <c r="M287" s="38">
        <f t="shared" ref="M287:M288" si="67">K287*60</f>
        <v>205380.6</v>
      </c>
      <c r="N287" s="109" t="s">
        <v>44</v>
      </c>
      <c r="O287" s="25">
        <v>46508</v>
      </c>
    </row>
    <row r="288" spans="1:15" ht="34.5" customHeight="1">
      <c r="A288" s="11" t="s">
        <v>890</v>
      </c>
      <c r="B288" s="36" t="s">
        <v>905</v>
      </c>
      <c r="C288" s="173" t="s">
        <v>1183</v>
      </c>
      <c r="D288" s="13" t="s">
        <v>1177</v>
      </c>
      <c r="E288" s="14" t="s">
        <v>101</v>
      </c>
      <c r="F288" s="11" t="s">
        <v>1184</v>
      </c>
      <c r="G288" s="11" t="s">
        <v>206</v>
      </c>
      <c r="H288" s="13">
        <v>0</v>
      </c>
      <c r="I288" s="22" t="s">
        <v>104</v>
      </c>
      <c r="J288" s="23" t="s">
        <v>105</v>
      </c>
      <c r="K288" s="17">
        <v>2583.33</v>
      </c>
      <c r="L288" s="17">
        <f t="shared" si="63"/>
        <v>30999.96</v>
      </c>
      <c r="M288" s="38">
        <f t="shared" si="67"/>
        <v>154999.79999999999</v>
      </c>
      <c r="N288" s="109" t="s">
        <v>44</v>
      </c>
      <c r="O288" s="25">
        <v>47278</v>
      </c>
    </row>
    <row r="289" spans="1:21" ht="34.5" customHeight="1">
      <c r="A289" s="11" t="s">
        <v>890</v>
      </c>
      <c r="B289" s="36" t="s">
        <v>905</v>
      </c>
      <c r="C289" s="173" t="s">
        <v>1185</v>
      </c>
      <c r="D289" s="27" t="s">
        <v>1177</v>
      </c>
      <c r="E289" s="14" t="s">
        <v>95</v>
      </c>
      <c r="F289" s="11" t="s">
        <v>1186</v>
      </c>
      <c r="G289" s="11" t="s">
        <v>1187</v>
      </c>
      <c r="H289" s="27">
        <v>1</v>
      </c>
      <c r="I289" s="16" t="s">
        <v>1188</v>
      </c>
      <c r="J289" s="46" t="s">
        <v>488</v>
      </c>
      <c r="K289" s="55">
        <v>4437.68</v>
      </c>
      <c r="L289" s="17">
        <f t="shared" si="63"/>
        <v>53252.160000000003</v>
      </c>
      <c r="M289" s="38">
        <f>K289*60</f>
        <v>266260.80000000005</v>
      </c>
      <c r="N289" s="24" t="s">
        <v>44</v>
      </c>
      <c r="O289" s="25">
        <v>47427</v>
      </c>
    </row>
    <row r="290" spans="1:21" ht="34.5" customHeight="1">
      <c r="A290" s="11" t="s">
        <v>890</v>
      </c>
      <c r="B290" s="26" t="s">
        <v>922</v>
      </c>
      <c r="C290" s="11" t="s">
        <v>1189</v>
      </c>
      <c r="D290" s="13" t="s">
        <v>923</v>
      </c>
      <c r="E290" s="14" t="s">
        <v>71</v>
      </c>
      <c r="F290" s="11" t="s">
        <v>1190</v>
      </c>
      <c r="G290" s="11" t="s">
        <v>41</v>
      </c>
      <c r="H290" s="13">
        <v>0</v>
      </c>
      <c r="I290" s="91" t="s">
        <v>1191</v>
      </c>
      <c r="J290" s="63" t="s">
        <v>1192</v>
      </c>
      <c r="K290" s="17">
        <v>1109.17</v>
      </c>
      <c r="L290" s="17">
        <f t="shared" si="63"/>
        <v>13310.04</v>
      </c>
      <c r="M290" s="38">
        <f>K290*60</f>
        <v>66550.200000000012</v>
      </c>
      <c r="N290" s="109" t="s">
        <v>44</v>
      </c>
      <c r="O290" s="25">
        <v>46473</v>
      </c>
    </row>
    <row r="291" spans="1:21" ht="34.5" customHeight="1">
      <c r="A291" s="11" t="s">
        <v>890</v>
      </c>
      <c r="B291" s="26" t="s">
        <v>922</v>
      </c>
      <c r="C291" s="11" t="s">
        <v>1193</v>
      </c>
      <c r="D291" s="13" t="s">
        <v>923</v>
      </c>
      <c r="E291" s="14" t="s">
        <v>39</v>
      </c>
      <c r="F291" s="11" t="s">
        <v>1194</v>
      </c>
      <c r="G291" s="11" t="s">
        <v>41</v>
      </c>
      <c r="H291" s="13">
        <v>0</v>
      </c>
      <c r="I291" s="15" t="s">
        <v>1049</v>
      </c>
      <c r="J291" s="63" t="s">
        <v>1050</v>
      </c>
      <c r="K291" s="17">
        <v>14744.56</v>
      </c>
      <c r="L291" s="17">
        <f t="shared" si="63"/>
        <v>176934.72</v>
      </c>
      <c r="M291" s="38">
        <f>K291*60</f>
        <v>884673.6</v>
      </c>
      <c r="N291" s="109" t="s">
        <v>44</v>
      </c>
      <c r="O291" s="25">
        <v>46481</v>
      </c>
    </row>
    <row r="292" spans="1:21" ht="34.5" customHeight="1">
      <c r="A292" s="11" t="s">
        <v>890</v>
      </c>
      <c r="B292" s="36" t="s">
        <v>922</v>
      </c>
      <c r="C292" s="173" t="s">
        <v>1195</v>
      </c>
      <c r="D292" s="13" t="s">
        <v>923</v>
      </c>
      <c r="E292" s="14" t="s">
        <v>394</v>
      </c>
      <c r="F292" s="11" t="s">
        <v>1196</v>
      </c>
      <c r="G292" s="11" t="s">
        <v>1197</v>
      </c>
      <c r="H292" s="13">
        <v>0</v>
      </c>
      <c r="I292" s="22" t="s">
        <v>963</v>
      </c>
      <c r="J292" s="23" t="s">
        <v>964</v>
      </c>
      <c r="K292" s="17">
        <v>543.42999999999995</v>
      </c>
      <c r="L292" s="17">
        <f t="shared" si="63"/>
        <v>6521.16</v>
      </c>
      <c r="M292" s="38">
        <f>K292*12</f>
        <v>6521.16</v>
      </c>
      <c r="N292" s="47" t="s">
        <v>36</v>
      </c>
      <c r="O292" s="25">
        <v>46065</v>
      </c>
    </row>
    <row r="293" spans="1:21" ht="34.5" customHeight="1">
      <c r="A293" s="11" t="s">
        <v>890</v>
      </c>
      <c r="B293" s="36" t="s">
        <v>922</v>
      </c>
      <c r="C293" s="173" t="s">
        <v>1198</v>
      </c>
      <c r="D293" s="27" t="s">
        <v>923</v>
      </c>
      <c r="E293" s="14" t="s">
        <v>95</v>
      </c>
      <c r="F293" s="11" t="s">
        <v>1199</v>
      </c>
      <c r="G293" s="11" t="s">
        <v>1200</v>
      </c>
      <c r="H293" s="27">
        <v>1</v>
      </c>
      <c r="I293" s="22" t="s">
        <v>1201</v>
      </c>
      <c r="J293" s="74" t="s">
        <v>1202</v>
      </c>
      <c r="K293" s="59">
        <v>6494.57</v>
      </c>
      <c r="L293" s="17">
        <f t="shared" si="63"/>
        <v>77934.84</v>
      </c>
      <c r="M293" s="38">
        <f>K293*30</f>
        <v>194837.09999999998</v>
      </c>
      <c r="N293" s="47" t="s">
        <v>51</v>
      </c>
      <c r="O293" s="60">
        <v>46115</v>
      </c>
    </row>
    <row r="294" spans="1:21" ht="34.5" customHeight="1">
      <c r="A294" s="11" t="s">
        <v>890</v>
      </c>
      <c r="B294" s="36" t="s">
        <v>922</v>
      </c>
      <c r="C294" s="173" t="s">
        <v>1203</v>
      </c>
      <c r="D294" s="13" t="s">
        <v>1204</v>
      </c>
      <c r="E294" s="14" t="s">
        <v>224</v>
      </c>
      <c r="F294" s="11" t="s">
        <v>1205</v>
      </c>
      <c r="G294" s="11" t="s">
        <v>1206</v>
      </c>
      <c r="H294" s="13">
        <v>2</v>
      </c>
      <c r="I294" s="11" t="s">
        <v>1207</v>
      </c>
      <c r="J294" s="22" t="s">
        <v>1208</v>
      </c>
      <c r="K294" s="17">
        <v>28266.75</v>
      </c>
      <c r="L294" s="17">
        <v>339201</v>
      </c>
      <c r="M294" s="38">
        <v>848002.5</v>
      </c>
      <c r="N294" s="143" t="s">
        <v>51</v>
      </c>
      <c r="O294" s="25">
        <v>46665</v>
      </c>
    </row>
    <row r="295" spans="1:21" ht="34.5" customHeight="1">
      <c r="A295" s="11" t="s">
        <v>890</v>
      </c>
      <c r="B295" s="36" t="s">
        <v>912</v>
      </c>
      <c r="C295" s="11" t="s">
        <v>1209</v>
      </c>
      <c r="D295" s="27" t="s">
        <v>1210</v>
      </c>
      <c r="E295" s="45" t="s">
        <v>71</v>
      </c>
      <c r="F295" s="11" t="s">
        <v>1211</v>
      </c>
      <c r="G295" s="11" t="s">
        <v>41</v>
      </c>
      <c r="H295" s="27">
        <v>0</v>
      </c>
      <c r="I295" s="16" t="s">
        <v>1212</v>
      </c>
      <c r="J295" s="74" t="s">
        <v>1213</v>
      </c>
      <c r="K295" s="17">
        <v>341.4</v>
      </c>
      <c r="L295" s="17">
        <f t="shared" si="63"/>
        <v>4096.7999999999993</v>
      </c>
      <c r="M295" s="38">
        <f>K295*60</f>
        <v>20484</v>
      </c>
      <c r="N295" s="109" t="s">
        <v>44</v>
      </c>
      <c r="O295" s="60">
        <v>46601</v>
      </c>
    </row>
    <row r="296" spans="1:21" ht="34.5" customHeight="1">
      <c r="A296" s="11" t="s">
        <v>890</v>
      </c>
      <c r="B296" s="36" t="s">
        <v>912</v>
      </c>
      <c r="C296" s="11" t="s">
        <v>1214</v>
      </c>
      <c r="D296" s="27" t="s">
        <v>1210</v>
      </c>
      <c r="E296" s="45" t="s">
        <v>39</v>
      </c>
      <c r="F296" s="11" t="s">
        <v>1215</v>
      </c>
      <c r="G296" s="11" t="s">
        <v>41</v>
      </c>
      <c r="H296" s="27">
        <v>0</v>
      </c>
      <c r="I296" s="16" t="s">
        <v>1113</v>
      </c>
      <c r="J296" s="74" t="s">
        <v>942</v>
      </c>
      <c r="K296" s="17">
        <v>2285.73</v>
      </c>
      <c r="L296" s="17">
        <f t="shared" si="63"/>
        <v>27428.760000000002</v>
      </c>
      <c r="M296" s="38">
        <f>K296*60</f>
        <v>137143.79999999999</v>
      </c>
      <c r="N296" s="109" t="s">
        <v>44</v>
      </c>
      <c r="O296" s="60">
        <v>46481</v>
      </c>
    </row>
    <row r="297" spans="1:21" ht="34.5" customHeight="1">
      <c r="A297" s="11" t="s">
        <v>890</v>
      </c>
      <c r="B297" s="65" t="s">
        <v>912</v>
      </c>
      <c r="C297" s="173" t="s">
        <v>1216</v>
      </c>
      <c r="D297" s="13" t="s">
        <v>1210</v>
      </c>
      <c r="E297" s="14" t="s">
        <v>95</v>
      </c>
      <c r="F297" s="11" t="s">
        <v>1217</v>
      </c>
      <c r="G297" s="125" t="s">
        <v>1218</v>
      </c>
      <c r="H297" s="13">
        <v>1</v>
      </c>
      <c r="I297" s="106" t="s">
        <v>1107</v>
      </c>
      <c r="J297" s="23" t="s">
        <v>190</v>
      </c>
      <c r="K297" s="17">
        <v>5161.3500000000004</v>
      </c>
      <c r="L297" s="17">
        <f t="shared" si="63"/>
        <v>61936.200000000004</v>
      </c>
      <c r="M297" s="38">
        <f>K297*30</f>
        <v>154840.5</v>
      </c>
      <c r="N297" s="143" t="s">
        <v>51</v>
      </c>
      <c r="O297" s="25">
        <v>46868</v>
      </c>
    </row>
    <row r="298" spans="1:21" ht="34.5" customHeight="1">
      <c r="A298" s="11" t="s">
        <v>890</v>
      </c>
      <c r="B298" s="65" t="s">
        <v>912</v>
      </c>
      <c r="C298" s="173" t="s">
        <v>1219</v>
      </c>
      <c r="D298" s="13" t="s">
        <v>1210</v>
      </c>
      <c r="E298" s="14" t="s">
        <v>101</v>
      </c>
      <c r="F298" s="11" t="s">
        <v>1220</v>
      </c>
      <c r="G298" s="125" t="s">
        <v>1221</v>
      </c>
      <c r="H298" s="13">
        <v>0</v>
      </c>
      <c r="I298" s="106" t="s">
        <v>525</v>
      </c>
      <c r="J298" s="23" t="s">
        <v>526</v>
      </c>
      <c r="K298" s="17">
        <v>2580.0833333333298</v>
      </c>
      <c r="L298" s="17">
        <f t="shared" si="63"/>
        <v>30960.999999999956</v>
      </c>
      <c r="M298" s="38">
        <f>K298*60</f>
        <v>154804.9999999998</v>
      </c>
      <c r="N298" s="143" t="s">
        <v>44</v>
      </c>
      <c r="O298" s="25">
        <v>47278</v>
      </c>
    </row>
    <row r="299" spans="1:21" ht="34.5" customHeight="1">
      <c r="A299" s="11" t="s">
        <v>1222</v>
      </c>
      <c r="B299" s="36" t="s">
        <v>1223</v>
      </c>
      <c r="C299" s="11" t="s">
        <v>1224</v>
      </c>
      <c r="D299" s="144" t="s">
        <v>1222</v>
      </c>
      <c r="E299" s="23" t="s">
        <v>1225</v>
      </c>
      <c r="F299" s="11" t="s">
        <v>1226</v>
      </c>
      <c r="G299" s="145" t="s">
        <v>1227</v>
      </c>
      <c r="H299" s="13">
        <v>0</v>
      </c>
      <c r="I299" s="22" t="s">
        <v>1228</v>
      </c>
      <c r="J299" s="46" t="s">
        <v>1229</v>
      </c>
      <c r="K299" s="17">
        <v>809271.82</v>
      </c>
      <c r="L299" s="17">
        <f t="shared" si="63"/>
        <v>9711261.8399999999</v>
      </c>
      <c r="M299" s="38">
        <f>K299*12</f>
        <v>9711261.8399999999</v>
      </c>
      <c r="N299" s="47" t="s">
        <v>36</v>
      </c>
      <c r="O299" s="25">
        <v>45991</v>
      </c>
      <c r="P299" s="158">
        <f>INDEX([1]Sheet1!$F:$F,MATCH(C299,[1]Sheet1!$A:$A,0))</f>
        <v>0</v>
      </c>
      <c r="Q299" s="158" t="b">
        <f t="shared" ref="Q259:Q322" si="68">P299=K299</f>
        <v>0</v>
      </c>
      <c r="R299" s="158">
        <f>INDEX([2]Planilha2!$K:$K,MATCH(C299,[2]Planilha2!$G:$G,0))</f>
        <v>809271.82</v>
      </c>
      <c r="S299" s="158" t="b">
        <f t="shared" ref="S259:S322" si="69">R299=P299</f>
        <v>0</v>
      </c>
      <c r="T299" s="182">
        <f>INDEX([2]Planilha2!$O:$O,MATCH(C299,[2]Planilha2!$G:$G,0))</f>
        <v>46356</v>
      </c>
      <c r="U299" s="158" t="b">
        <f t="shared" ref="U259:U322" si="70">T299=O299</f>
        <v>0</v>
      </c>
    </row>
    <row r="300" spans="1:21" ht="34.5" customHeight="1">
      <c r="A300" s="11" t="s">
        <v>1222</v>
      </c>
      <c r="B300" s="36" t="s">
        <v>1223</v>
      </c>
      <c r="C300" s="173" t="s">
        <v>1230</v>
      </c>
      <c r="D300" s="11" t="s">
        <v>1222</v>
      </c>
      <c r="E300" s="23" t="s">
        <v>1231</v>
      </c>
      <c r="F300" s="11" t="s">
        <v>1232</v>
      </c>
      <c r="G300" s="11" t="s">
        <v>1233</v>
      </c>
      <c r="H300" s="11">
        <v>0</v>
      </c>
      <c r="I300" s="11" t="s">
        <v>1234</v>
      </c>
      <c r="J300" s="146" t="s">
        <v>1235</v>
      </c>
      <c r="K300" s="53">
        <v>489976.054</v>
      </c>
      <c r="L300" s="17">
        <f t="shared" si="63"/>
        <v>5879712.648</v>
      </c>
      <c r="M300" s="38">
        <f>K300*12</f>
        <v>5879712.648</v>
      </c>
      <c r="N300" s="47" t="s">
        <v>36</v>
      </c>
      <c r="O300" s="25">
        <v>46076</v>
      </c>
    </row>
    <row r="301" spans="1:21" ht="34.5" customHeight="1">
      <c r="A301" s="11" t="s">
        <v>1222</v>
      </c>
      <c r="B301" s="36" t="s">
        <v>1223</v>
      </c>
      <c r="C301" s="173" t="s">
        <v>1236</v>
      </c>
      <c r="D301" s="13" t="s">
        <v>1222</v>
      </c>
      <c r="E301" s="14" t="s">
        <v>1237</v>
      </c>
      <c r="F301" s="11" t="s">
        <v>1238</v>
      </c>
      <c r="G301" s="11" t="s">
        <v>1239</v>
      </c>
      <c r="H301" s="13">
        <v>2955</v>
      </c>
      <c r="I301" s="22" t="s">
        <v>1240</v>
      </c>
      <c r="J301" s="22" t="s">
        <v>1241</v>
      </c>
      <c r="K301" s="17">
        <v>14776.34</v>
      </c>
      <c r="L301" s="17">
        <f t="shared" si="63"/>
        <v>177316.08000000002</v>
      </c>
      <c r="M301" s="38">
        <f>K301*30</f>
        <v>443290.2</v>
      </c>
      <c r="N301" s="114" t="s">
        <v>51</v>
      </c>
      <c r="O301" s="25">
        <v>46413</v>
      </c>
    </row>
    <row r="302" spans="1:21" ht="34.5" customHeight="1">
      <c r="A302" s="11" t="s">
        <v>1222</v>
      </c>
      <c r="B302" s="36" t="s">
        <v>1223</v>
      </c>
      <c r="C302" s="173" t="s">
        <v>1242</v>
      </c>
      <c r="D302" s="144" t="s">
        <v>1222</v>
      </c>
      <c r="E302" s="147" t="s">
        <v>1243</v>
      </c>
      <c r="F302" s="11" t="s">
        <v>1244</v>
      </c>
      <c r="G302" s="11" t="s">
        <v>1245</v>
      </c>
      <c r="H302" s="13">
        <v>0</v>
      </c>
      <c r="I302" s="22" t="s">
        <v>1246</v>
      </c>
      <c r="J302" s="46" t="s">
        <v>1247</v>
      </c>
      <c r="K302" s="17">
        <v>29947.5</v>
      </c>
      <c r="L302" s="17">
        <f t="shared" si="63"/>
        <v>359370</v>
      </c>
      <c r="M302" s="38">
        <f>K302*36</f>
        <v>1078110</v>
      </c>
      <c r="N302" s="47" t="s">
        <v>1248</v>
      </c>
      <c r="O302" s="25">
        <v>46384</v>
      </c>
    </row>
    <row r="303" spans="1:21" ht="34.5" customHeight="1">
      <c r="A303" s="11" t="s">
        <v>1222</v>
      </c>
      <c r="B303" s="36" t="s">
        <v>1223</v>
      </c>
      <c r="C303" s="173" t="s">
        <v>1249</v>
      </c>
      <c r="D303" s="144" t="s">
        <v>1222</v>
      </c>
      <c r="E303" s="23" t="s">
        <v>1250</v>
      </c>
      <c r="F303" s="11" t="s">
        <v>1251</v>
      </c>
      <c r="G303" s="11" t="s">
        <v>1252</v>
      </c>
      <c r="H303" s="13">
        <v>0</v>
      </c>
      <c r="I303" s="22" t="s">
        <v>1253</v>
      </c>
      <c r="J303" s="46" t="s">
        <v>1254</v>
      </c>
      <c r="K303" s="17">
        <f>21299.27/12</f>
        <v>1774.9391666666668</v>
      </c>
      <c r="L303" s="17">
        <f t="shared" si="63"/>
        <v>21299.27</v>
      </c>
      <c r="M303" s="38">
        <f>K303*12</f>
        <v>21299.27</v>
      </c>
      <c r="N303" s="47" t="s">
        <v>36</v>
      </c>
      <c r="O303" s="25">
        <v>46139</v>
      </c>
    </row>
    <row r="304" spans="1:21" ht="34.5" customHeight="1">
      <c r="A304" s="11" t="s">
        <v>1222</v>
      </c>
      <c r="B304" s="36" t="s">
        <v>1223</v>
      </c>
      <c r="C304" s="173" t="s">
        <v>1255</v>
      </c>
      <c r="D304" s="144" t="s">
        <v>1222</v>
      </c>
      <c r="E304" s="147" t="s">
        <v>1256</v>
      </c>
      <c r="F304" s="11" t="s">
        <v>1257</v>
      </c>
      <c r="G304" s="11" t="s">
        <v>1258</v>
      </c>
      <c r="H304" s="13">
        <v>0</v>
      </c>
      <c r="I304" s="22" t="s">
        <v>1259</v>
      </c>
      <c r="J304" s="46" t="s">
        <v>1260</v>
      </c>
      <c r="K304" s="17">
        <v>165750</v>
      </c>
      <c r="L304" s="17">
        <f t="shared" si="63"/>
        <v>1989000</v>
      </c>
      <c r="M304" s="38">
        <f t="shared" ref="M304:M305" si="71">K304*12</f>
        <v>1989000</v>
      </c>
      <c r="N304" s="47" t="s">
        <v>36</v>
      </c>
      <c r="O304" s="25">
        <v>46367</v>
      </c>
    </row>
    <row r="305" spans="1:15" ht="34.5" customHeight="1">
      <c r="A305" s="11" t="s">
        <v>1222</v>
      </c>
      <c r="B305" s="26" t="s">
        <v>1223</v>
      </c>
      <c r="C305" s="172" t="s">
        <v>1261</v>
      </c>
      <c r="D305" s="13" t="s">
        <v>1222</v>
      </c>
      <c r="E305" s="42" t="s">
        <v>1262</v>
      </c>
      <c r="F305" s="35" t="s">
        <v>1263</v>
      </c>
      <c r="G305" s="11" t="s">
        <v>1264</v>
      </c>
      <c r="H305" s="49">
        <v>0</v>
      </c>
      <c r="I305" s="77" t="s">
        <v>1265</v>
      </c>
      <c r="J305" s="43" t="s">
        <v>1266</v>
      </c>
      <c r="K305" s="44">
        <v>419165.34499999997</v>
      </c>
      <c r="L305" s="44">
        <f t="shared" si="63"/>
        <v>5029984.1399999997</v>
      </c>
      <c r="M305" s="38">
        <f t="shared" si="71"/>
        <v>5029984.1399999997</v>
      </c>
      <c r="N305" s="47" t="s">
        <v>36</v>
      </c>
      <c r="O305" s="39">
        <v>46121</v>
      </c>
    </row>
    <row r="306" spans="1:15" ht="34.5" customHeight="1">
      <c r="A306" s="11" t="s">
        <v>1222</v>
      </c>
      <c r="B306" s="26" t="s">
        <v>1223</v>
      </c>
      <c r="C306" s="173" t="s">
        <v>1267</v>
      </c>
      <c r="D306" s="13" t="s">
        <v>1222</v>
      </c>
      <c r="E306" s="14" t="s">
        <v>1268</v>
      </c>
      <c r="F306" s="11" t="s">
        <v>1269</v>
      </c>
      <c r="G306" s="11" t="s">
        <v>1270</v>
      </c>
      <c r="H306" s="13">
        <v>0</v>
      </c>
      <c r="I306" s="15" t="s">
        <v>1271</v>
      </c>
      <c r="J306" s="63" t="s">
        <v>1272</v>
      </c>
      <c r="K306" s="17">
        <v>61.154000000000003</v>
      </c>
      <c r="L306" s="17">
        <f t="shared" si="63"/>
        <v>733.84800000000007</v>
      </c>
      <c r="M306" s="38">
        <f>K306*60</f>
        <v>3669.2400000000002</v>
      </c>
      <c r="N306" s="47" t="s">
        <v>44</v>
      </c>
      <c r="O306" s="25">
        <v>47406</v>
      </c>
    </row>
    <row r="307" spans="1:15" ht="34.5" customHeight="1">
      <c r="A307" s="11" t="s">
        <v>1222</v>
      </c>
      <c r="B307" s="36" t="s">
        <v>1223</v>
      </c>
      <c r="C307" s="173" t="s">
        <v>1273</v>
      </c>
      <c r="D307" s="144" t="s">
        <v>1222</v>
      </c>
      <c r="E307" s="46" t="s">
        <v>1274</v>
      </c>
      <c r="F307" s="11" t="s">
        <v>1275</v>
      </c>
      <c r="G307" s="11" t="s">
        <v>1276</v>
      </c>
      <c r="H307" s="13">
        <v>0</v>
      </c>
      <c r="I307" s="11" t="s">
        <v>1277</v>
      </c>
      <c r="J307" s="46" t="s">
        <v>1278</v>
      </c>
      <c r="K307" s="17">
        <v>2500</v>
      </c>
      <c r="L307" s="17">
        <f t="shared" si="63"/>
        <v>30000</v>
      </c>
      <c r="M307" s="38">
        <f>K307*60</f>
        <v>150000</v>
      </c>
      <c r="N307" s="114" t="s">
        <v>44</v>
      </c>
      <c r="O307" s="25">
        <v>46165</v>
      </c>
    </row>
    <row r="308" spans="1:15" ht="34.5" customHeight="1">
      <c r="A308" s="11" t="s">
        <v>1222</v>
      </c>
      <c r="B308" s="36" t="s">
        <v>1223</v>
      </c>
      <c r="C308" s="173" t="s">
        <v>1279</v>
      </c>
      <c r="D308" s="13" t="s">
        <v>1222</v>
      </c>
      <c r="E308" s="14" t="s">
        <v>1280</v>
      </c>
      <c r="F308" s="11" t="s">
        <v>1281</v>
      </c>
      <c r="G308" s="11" t="s">
        <v>1282</v>
      </c>
      <c r="H308" s="13">
        <v>0</v>
      </c>
      <c r="I308" s="11" t="s">
        <v>1283</v>
      </c>
      <c r="J308" s="46" t="s">
        <v>1284</v>
      </c>
      <c r="K308" s="107">
        <v>3871.5508332999998</v>
      </c>
      <c r="L308" s="17">
        <f t="shared" si="63"/>
        <v>46458.609999599998</v>
      </c>
      <c r="M308" s="38">
        <f>K308*12</f>
        <v>46458.609999599998</v>
      </c>
      <c r="N308" s="47" t="s">
        <v>36</v>
      </c>
      <c r="O308" s="25">
        <v>46111</v>
      </c>
    </row>
    <row r="309" spans="1:15" ht="34.5" customHeight="1">
      <c r="A309" s="11" t="s">
        <v>1222</v>
      </c>
      <c r="B309" s="148" t="s">
        <v>1223</v>
      </c>
      <c r="C309" s="173" t="s">
        <v>1285</v>
      </c>
      <c r="D309" s="13" t="s">
        <v>1222</v>
      </c>
      <c r="E309" s="14" t="s">
        <v>1286</v>
      </c>
      <c r="F309" s="11" t="s">
        <v>1287</v>
      </c>
      <c r="G309" s="11" t="s">
        <v>1288</v>
      </c>
      <c r="H309" s="13">
        <v>0</v>
      </c>
      <c r="I309" s="22" t="s">
        <v>1289</v>
      </c>
      <c r="J309" s="23" t="s">
        <v>1290</v>
      </c>
      <c r="K309" s="17">
        <v>383580</v>
      </c>
      <c r="L309" s="17">
        <f t="shared" si="63"/>
        <v>4602960</v>
      </c>
      <c r="M309" s="38">
        <f>K309*36</f>
        <v>13808880</v>
      </c>
      <c r="N309" s="24" t="s">
        <v>1248</v>
      </c>
      <c r="O309" s="25">
        <v>46020</v>
      </c>
    </row>
    <row r="310" spans="1:15" ht="34.5" customHeight="1">
      <c r="A310" s="11" t="s">
        <v>1222</v>
      </c>
      <c r="B310" s="130" t="s">
        <v>1223</v>
      </c>
      <c r="C310" s="173" t="s">
        <v>1291</v>
      </c>
      <c r="D310" s="11" t="s">
        <v>1222</v>
      </c>
      <c r="E310" s="22" t="s">
        <v>1292</v>
      </c>
      <c r="F310" s="11" t="s">
        <v>1293</v>
      </c>
      <c r="G310" s="11" t="s">
        <v>1294</v>
      </c>
      <c r="H310" s="11">
        <v>0</v>
      </c>
      <c r="I310" s="11" t="s">
        <v>1295</v>
      </c>
      <c r="J310" s="146" t="s">
        <v>1296</v>
      </c>
      <c r="K310" s="53">
        <v>934.29</v>
      </c>
      <c r="L310" s="17">
        <f t="shared" si="63"/>
        <v>11211.48</v>
      </c>
      <c r="M310" s="38">
        <f t="shared" ref="M310:M311" si="72">K310*12</f>
        <v>11211.48</v>
      </c>
      <c r="N310" s="47" t="s">
        <v>36</v>
      </c>
      <c r="O310" s="100">
        <v>46353</v>
      </c>
    </row>
    <row r="311" spans="1:15" ht="34.5" customHeight="1">
      <c r="A311" s="11" t="s">
        <v>1222</v>
      </c>
      <c r="B311" s="36" t="s">
        <v>1223</v>
      </c>
      <c r="C311" s="173" t="s">
        <v>1297</v>
      </c>
      <c r="D311" s="144" t="s">
        <v>1222</v>
      </c>
      <c r="E311" s="23" t="s">
        <v>1298</v>
      </c>
      <c r="F311" s="11" t="s">
        <v>1299</v>
      </c>
      <c r="G311" s="11" t="s">
        <v>1300</v>
      </c>
      <c r="H311" s="13">
        <v>0</v>
      </c>
      <c r="I311" s="22" t="s">
        <v>1301</v>
      </c>
      <c r="J311" s="46" t="s">
        <v>1302</v>
      </c>
      <c r="K311" s="17">
        <v>806.72900000000004</v>
      </c>
      <c r="L311" s="17">
        <f t="shared" ref="L311:L334" si="73">K311*12</f>
        <v>9680.7479999999996</v>
      </c>
      <c r="M311" s="38">
        <f t="shared" si="72"/>
        <v>9680.7479999999996</v>
      </c>
      <c r="N311" s="24" t="s">
        <v>36</v>
      </c>
      <c r="O311" s="25">
        <v>46179</v>
      </c>
    </row>
    <row r="312" spans="1:15" ht="34.5" customHeight="1">
      <c r="A312" s="11" t="s">
        <v>1222</v>
      </c>
      <c r="B312" s="36" t="s">
        <v>1223</v>
      </c>
      <c r="C312" s="173" t="s">
        <v>1303</v>
      </c>
      <c r="D312" s="144" t="s">
        <v>1222</v>
      </c>
      <c r="E312" s="149" t="s">
        <v>1304</v>
      </c>
      <c r="F312" s="11" t="s">
        <v>1305</v>
      </c>
      <c r="G312" s="11" t="s">
        <v>1306</v>
      </c>
      <c r="H312" s="13">
        <v>0</v>
      </c>
      <c r="I312" s="22" t="s">
        <v>1307</v>
      </c>
      <c r="J312" s="23" t="s">
        <v>1308</v>
      </c>
      <c r="K312" s="17">
        <v>5176.6549999999997</v>
      </c>
      <c r="L312" s="17">
        <f t="shared" si="73"/>
        <v>62119.86</v>
      </c>
      <c r="M312" s="38">
        <f>K312*60</f>
        <v>310599.3</v>
      </c>
      <c r="N312" s="24" t="s">
        <v>44</v>
      </c>
      <c r="O312" s="150">
        <v>46628</v>
      </c>
    </row>
    <row r="313" spans="1:15" ht="34.5" customHeight="1">
      <c r="A313" s="11" t="s">
        <v>1222</v>
      </c>
      <c r="B313" s="26" t="s">
        <v>1223</v>
      </c>
      <c r="C313" s="173" t="s">
        <v>1309</v>
      </c>
      <c r="D313" s="13" t="s">
        <v>1222</v>
      </c>
      <c r="E313" s="14" t="s">
        <v>1310</v>
      </c>
      <c r="F313" s="11" t="s">
        <v>1311</v>
      </c>
      <c r="G313" s="11" t="s">
        <v>1312</v>
      </c>
      <c r="H313" s="13">
        <v>0</v>
      </c>
      <c r="I313" s="15" t="s">
        <v>1313</v>
      </c>
      <c r="J313" s="63" t="s">
        <v>1314</v>
      </c>
      <c r="K313" s="17">
        <v>3019.25</v>
      </c>
      <c r="L313" s="17">
        <f t="shared" si="73"/>
        <v>36231</v>
      </c>
      <c r="M313" s="38">
        <f>K313*30</f>
        <v>90577.5</v>
      </c>
      <c r="N313" s="151" t="s">
        <v>51</v>
      </c>
      <c r="O313" s="25">
        <v>46356</v>
      </c>
    </row>
    <row r="314" spans="1:15" ht="34.5" customHeight="1">
      <c r="A314" s="11" t="s">
        <v>1222</v>
      </c>
      <c r="B314" s="36" t="s">
        <v>1223</v>
      </c>
      <c r="C314" s="173" t="s">
        <v>1315</v>
      </c>
      <c r="D314" s="11" t="s">
        <v>1222</v>
      </c>
      <c r="E314" s="23" t="s">
        <v>1316</v>
      </c>
      <c r="F314" s="11" t="s">
        <v>1317</v>
      </c>
      <c r="G314" s="11" t="s">
        <v>1318</v>
      </c>
      <c r="H314" s="11">
        <v>0</v>
      </c>
      <c r="I314" s="164" t="s">
        <v>1319</v>
      </c>
      <c r="J314" s="146" t="s">
        <v>1320</v>
      </c>
      <c r="K314" s="53">
        <v>1941.25</v>
      </c>
      <c r="L314" s="17">
        <f t="shared" si="73"/>
        <v>23295</v>
      </c>
      <c r="M314" s="38">
        <f>K314*36</f>
        <v>69885</v>
      </c>
      <c r="N314" s="165" t="s">
        <v>1248</v>
      </c>
      <c r="O314" s="100">
        <v>45940</v>
      </c>
    </row>
    <row r="315" spans="1:15" ht="34.5" customHeight="1">
      <c r="A315" s="11" t="s">
        <v>1222</v>
      </c>
      <c r="B315" s="36" t="s">
        <v>1223</v>
      </c>
      <c r="C315" s="173" t="s">
        <v>1321</v>
      </c>
      <c r="D315" s="144" t="s">
        <v>1222</v>
      </c>
      <c r="E315" s="152" t="s">
        <v>1322</v>
      </c>
      <c r="F315" s="11" t="s">
        <v>1323</v>
      </c>
      <c r="G315" s="11" t="s">
        <v>1324</v>
      </c>
      <c r="H315" s="13">
        <v>0</v>
      </c>
      <c r="I315" s="22" t="s">
        <v>1325</v>
      </c>
      <c r="J315" s="153" t="s">
        <v>1326</v>
      </c>
      <c r="K315" s="17">
        <v>6312.62</v>
      </c>
      <c r="L315" s="17">
        <f t="shared" si="73"/>
        <v>75751.44</v>
      </c>
      <c r="M315" s="38">
        <f>K315*12</f>
        <v>75751.44</v>
      </c>
      <c r="N315" s="47" t="s">
        <v>36</v>
      </c>
      <c r="O315" s="25">
        <v>46385</v>
      </c>
    </row>
    <row r="316" spans="1:15" ht="34.5" customHeight="1">
      <c r="A316" s="11" t="s">
        <v>1222</v>
      </c>
      <c r="B316" s="26" t="s">
        <v>1223</v>
      </c>
      <c r="C316" s="173" t="s">
        <v>1327</v>
      </c>
      <c r="D316" s="13" t="s">
        <v>1222</v>
      </c>
      <c r="E316" s="14" t="s">
        <v>1328</v>
      </c>
      <c r="F316" s="11" t="s">
        <v>1329</v>
      </c>
      <c r="G316" s="11" t="s">
        <v>1330</v>
      </c>
      <c r="H316" s="13">
        <v>0</v>
      </c>
      <c r="I316" s="13" t="s">
        <v>1331</v>
      </c>
      <c r="J316" s="46" t="s">
        <v>1332</v>
      </c>
      <c r="K316" s="17">
        <v>9253.8700000000008</v>
      </c>
      <c r="L316" s="17">
        <f t="shared" si="73"/>
        <v>111046.44</v>
      </c>
      <c r="M316" s="38">
        <f>K316*30</f>
        <v>277616.10000000003</v>
      </c>
      <c r="N316" s="151" t="s">
        <v>51</v>
      </c>
      <c r="O316" s="25">
        <v>46284</v>
      </c>
    </row>
    <row r="317" spans="1:15" ht="34.5" customHeight="1">
      <c r="A317" s="11" t="s">
        <v>1222</v>
      </c>
      <c r="B317" s="26" t="s">
        <v>1223</v>
      </c>
      <c r="C317" s="173" t="s">
        <v>1333</v>
      </c>
      <c r="D317" s="13" t="s">
        <v>1222</v>
      </c>
      <c r="E317" s="13" t="s">
        <v>1328</v>
      </c>
      <c r="F317" s="11" t="s">
        <v>1329</v>
      </c>
      <c r="G317" s="11" t="s">
        <v>1330</v>
      </c>
      <c r="H317" s="13">
        <v>0</v>
      </c>
      <c r="I317" s="13" t="s">
        <v>1334</v>
      </c>
      <c r="J317" s="46" t="s">
        <v>1335</v>
      </c>
      <c r="K317" s="17">
        <v>29064.014999999999</v>
      </c>
      <c r="L317" s="17">
        <f t="shared" si="73"/>
        <v>348768.18</v>
      </c>
      <c r="M317" s="38">
        <f>K317*30</f>
        <v>871920.45</v>
      </c>
      <c r="N317" s="151" t="s">
        <v>51</v>
      </c>
      <c r="O317" s="25">
        <v>46284</v>
      </c>
    </row>
    <row r="318" spans="1:15" ht="34.5" customHeight="1">
      <c r="A318" s="11" t="s">
        <v>1222</v>
      </c>
      <c r="B318" s="26" t="s">
        <v>1223</v>
      </c>
      <c r="C318" s="173" t="s">
        <v>1336</v>
      </c>
      <c r="D318" s="13" t="s">
        <v>1222</v>
      </c>
      <c r="E318" s="13" t="s">
        <v>1337</v>
      </c>
      <c r="F318" s="11" t="s">
        <v>1338</v>
      </c>
      <c r="G318" s="11" t="s">
        <v>1339</v>
      </c>
      <c r="H318" s="13">
        <v>0</v>
      </c>
      <c r="I318" s="13" t="s">
        <v>1340</v>
      </c>
      <c r="J318" s="46" t="s">
        <v>1341</v>
      </c>
      <c r="K318" s="17">
        <v>953.04333333333295</v>
      </c>
      <c r="L318" s="17">
        <f t="shared" si="73"/>
        <v>11436.519999999995</v>
      </c>
      <c r="M318" s="38">
        <f>K318*24</f>
        <v>22873.03999999999</v>
      </c>
      <c r="N318" s="151" t="s">
        <v>1342</v>
      </c>
      <c r="O318" s="25">
        <v>46192</v>
      </c>
    </row>
    <row r="319" spans="1:15" ht="34.5" customHeight="1">
      <c r="A319" s="11" t="s">
        <v>1222</v>
      </c>
      <c r="B319" s="148" t="s">
        <v>1223</v>
      </c>
      <c r="C319" s="173" t="s">
        <v>1343</v>
      </c>
      <c r="D319" s="13" t="s">
        <v>1222</v>
      </c>
      <c r="E319" s="14" t="s">
        <v>1344</v>
      </c>
      <c r="F319" s="11" t="s">
        <v>1345</v>
      </c>
      <c r="G319" s="11" t="s">
        <v>1346</v>
      </c>
      <c r="H319" s="13">
        <v>0</v>
      </c>
      <c r="I319" s="22" t="s">
        <v>1347</v>
      </c>
      <c r="J319" s="23" t="s">
        <v>1348</v>
      </c>
      <c r="K319" s="17">
        <v>3888.25</v>
      </c>
      <c r="L319" s="17">
        <f t="shared" si="73"/>
        <v>46659</v>
      </c>
      <c r="M319" s="38">
        <f>K319*12</f>
        <v>46659</v>
      </c>
      <c r="N319" s="47" t="s">
        <v>36</v>
      </c>
      <c r="O319" s="25">
        <v>46385</v>
      </c>
    </row>
    <row r="320" spans="1:15" ht="34.5" customHeight="1">
      <c r="A320" s="11" t="s">
        <v>1222</v>
      </c>
      <c r="B320" s="26" t="s">
        <v>1223</v>
      </c>
      <c r="C320" s="173" t="s">
        <v>1349</v>
      </c>
      <c r="D320" s="13" t="s">
        <v>1222</v>
      </c>
      <c r="E320" s="14" t="s">
        <v>1350</v>
      </c>
      <c r="F320" s="11" t="s">
        <v>1351</v>
      </c>
      <c r="G320" s="11" t="s">
        <v>1352</v>
      </c>
      <c r="H320" s="13">
        <v>0</v>
      </c>
      <c r="I320" s="15" t="s">
        <v>1353</v>
      </c>
      <c r="J320" s="63" t="s">
        <v>1354</v>
      </c>
      <c r="K320" s="17">
        <v>16900</v>
      </c>
      <c r="L320" s="17">
        <f t="shared" si="73"/>
        <v>202800</v>
      </c>
      <c r="M320" s="154">
        <f>K320*60</f>
        <v>1014000</v>
      </c>
      <c r="N320" s="155" t="s">
        <v>44</v>
      </c>
      <c r="O320" s="84">
        <v>46281</v>
      </c>
    </row>
    <row r="321" spans="1:21" ht="34.5" customHeight="1">
      <c r="A321" s="11" t="s">
        <v>1222</v>
      </c>
      <c r="B321" s="26" t="s">
        <v>1223</v>
      </c>
      <c r="C321" s="173" t="s">
        <v>1355</v>
      </c>
      <c r="D321" s="13" t="s">
        <v>1222</v>
      </c>
      <c r="E321" s="14" t="s">
        <v>1356</v>
      </c>
      <c r="F321" s="11" t="s">
        <v>1357</v>
      </c>
      <c r="G321" s="11" t="s">
        <v>1358</v>
      </c>
      <c r="H321" s="13">
        <v>0</v>
      </c>
      <c r="I321" s="15" t="s">
        <v>1359</v>
      </c>
      <c r="J321" s="63" t="s">
        <v>1360</v>
      </c>
      <c r="K321" s="17">
        <v>232.5</v>
      </c>
      <c r="L321" s="17">
        <f t="shared" si="73"/>
        <v>2790</v>
      </c>
      <c r="M321" s="154">
        <f>K321*60</f>
        <v>13950</v>
      </c>
      <c r="N321" s="156" t="s">
        <v>44</v>
      </c>
      <c r="O321" s="84">
        <v>47323</v>
      </c>
    </row>
    <row r="322" spans="1:21" ht="34.5" customHeight="1">
      <c r="A322" s="11" t="s">
        <v>1222</v>
      </c>
      <c r="B322" s="36" t="s">
        <v>1223</v>
      </c>
      <c r="C322" s="173" t="s">
        <v>1361</v>
      </c>
      <c r="D322" s="144" t="s">
        <v>1222</v>
      </c>
      <c r="E322" s="23" t="s">
        <v>1362</v>
      </c>
      <c r="F322" s="11" t="s">
        <v>1363</v>
      </c>
      <c r="G322" s="11" t="s">
        <v>1364</v>
      </c>
      <c r="H322" s="13">
        <v>0</v>
      </c>
      <c r="I322" s="29" t="s">
        <v>1365</v>
      </c>
      <c r="J322" s="46" t="s">
        <v>1366</v>
      </c>
      <c r="K322" s="17">
        <v>104004.166666666</v>
      </c>
      <c r="L322" s="17">
        <f t="shared" si="73"/>
        <v>1248049.9999999921</v>
      </c>
      <c r="M322" s="38">
        <f>K322*12</f>
        <v>1248049.9999999921</v>
      </c>
      <c r="N322" s="47" t="s">
        <v>36</v>
      </c>
      <c r="O322" s="25">
        <v>46003</v>
      </c>
    </row>
    <row r="323" spans="1:21" ht="34.5" customHeight="1">
      <c r="A323" s="11" t="s">
        <v>1222</v>
      </c>
      <c r="B323" s="36" t="s">
        <v>1223</v>
      </c>
      <c r="C323" s="173" t="s">
        <v>1367</v>
      </c>
      <c r="D323" s="144" t="s">
        <v>1222</v>
      </c>
      <c r="E323" s="23" t="s">
        <v>1368</v>
      </c>
      <c r="F323" s="11" t="s">
        <v>1369</v>
      </c>
      <c r="G323" s="22" t="s">
        <v>1370</v>
      </c>
      <c r="H323" s="13">
        <v>0</v>
      </c>
      <c r="I323" s="29" t="s">
        <v>1371</v>
      </c>
      <c r="J323" s="46" t="s">
        <v>1372</v>
      </c>
      <c r="K323" s="17">
        <v>0</v>
      </c>
      <c r="L323" s="17">
        <f t="shared" si="73"/>
        <v>0</v>
      </c>
      <c r="M323" s="38">
        <f>K323*60</f>
        <v>0</v>
      </c>
      <c r="N323" s="47" t="s">
        <v>44</v>
      </c>
      <c r="O323" s="25">
        <v>47457</v>
      </c>
    </row>
    <row r="324" spans="1:21" ht="34.5" customHeight="1">
      <c r="A324" s="11" t="s">
        <v>1222</v>
      </c>
      <c r="B324" s="36" t="s">
        <v>1223</v>
      </c>
      <c r="C324" s="173" t="s">
        <v>1373</v>
      </c>
      <c r="D324" s="144" t="s">
        <v>1222</v>
      </c>
      <c r="E324" s="23" t="s">
        <v>1374</v>
      </c>
      <c r="F324" s="11" t="s">
        <v>1375</v>
      </c>
      <c r="G324" s="11" t="s">
        <v>1376</v>
      </c>
      <c r="H324" s="13">
        <v>0</v>
      </c>
      <c r="I324" s="29" t="s">
        <v>1377</v>
      </c>
      <c r="J324" s="46" t="s">
        <v>1378</v>
      </c>
      <c r="K324" s="17">
        <v>690</v>
      </c>
      <c r="L324" s="17">
        <f t="shared" si="73"/>
        <v>8280</v>
      </c>
      <c r="M324" s="38">
        <f>K324*60</f>
        <v>41400</v>
      </c>
      <c r="N324" s="47" t="s">
        <v>44</v>
      </c>
      <c r="O324" s="25">
        <v>47426</v>
      </c>
    </row>
    <row r="325" spans="1:21" ht="34.5" customHeight="1">
      <c r="A325" s="11" t="s">
        <v>1222</v>
      </c>
      <c r="B325" s="36" t="s">
        <v>1223</v>
      </c>
      <c r="C325" s="173" t="s">
        <v>1379</v>
      </c>
      <c r="D325" s="144" t="s">
        <v>1222</v>
      </c>
      <c r="E325" s="13" t="s">
        <v>1380</v>
      </c>
      <c r="F325" s="11" t="s">
        <v>1381</v>
      </c>
      <c r="G325" s="11" t="s">
        <v>1382</v>
      </c>
      <c r="H325" s="13">
        <v>0</v>
      </c>
      <c r="I325" s="29" t="s">
        <v>1383</v>
      </c>
      <c r="J325" s="46" t="s">
        <v>1384</v>
      </c>
      <c r="K325" s="17">
        <v>5316.67</v>
      </c>
      <c r="L325" s="17">
        <f t="shared" si="73"/>
        <v>63800.04</v>
      </c>
      <c r="M325" s="38">
        <f>K325*24</f>
        <v>127600.08</v>
      </c>
      <c r="N325" s="47" t="s">
        <v>1342</v>
      </c>
      <c r="O325" s="25">
        <v>46214</v>
      </c>
    </row>
    <row r="326" spans="1:21" ht="34.5" customHeight="1">
      <c r="A326" s="11" t="s">
        <v>1222</v>
      </c>
      <c r="B326" s="36" t="s">
        <v>1223</v>
      </c>
      <c r="C326" s="173" t="s">
        <v>1385</v>
      </c>
      <c r="D326" s="144" t="s">
        <v>1222</v>
      </c>
      <c r="E326" s="14" t="s">
        <v>1386</v>
      </c>
      <c r="F326" s="11" t="s">
        <v>1387</v>
      </c>
      <c r="G326" s="11" t="s">
        <v>1388</v>
      </c>
      <c r="H326" s="13">
        <v>0</v>
      </c>
      <c r="I326" s="106" t="s">
        <v>1389</v>
      </c>
      <c r="J326" s="46" t="s">
        <v>1390</v>
      </c>
      <c r="K326" s="17">
        <v>3150</v>
      </c>
      <c r="L326" s="17">
        <f t="shared" si="73"/>
        <v>37800</v>
      </c>
      <c r="M326" s="38">
        <f>K326*24</f>
        <v>75600</v>
      </c>
      <c r="N326" s="47" t="s">
        <v>36</v>
      </c>
      <c r="O326" s="25">
        <v>46056</v>
      </c>
    </row>
    <row r="327" spans="1:21" ht="34.5" customHeight="1">
      <c r="A327" s="11" t="s">
        <v>1222</v>
      </c>
      <c r="B327" s="36" t="s">
        <v>1223</v>
      </c>
      <c r="C327" s="173" t="s">
        <v>1391</v>
      </c>
      <c r="D327" s="144" t="s">
        <v>1222</v>
      </c>
      <c r="E327" s="14" t="s">
        <v>1392</v>
      </c>
      <c r="F327" s="11" t="s">
        <v>1393</v>
      </c>
      <c r="G327" s="11" t="s">
        <v>1394</v>
      </c>
      <c r="H327" s="13">
        <v>0</v>
      </c>
      <c r="I327" s="29" t="s">
        <v>1395</v>
      </c>
      <c r="J327" s="46" t="s">
        <v>1396</v>
      </c>
      <c r="K327" s="17">
        <v>52.181249999999999</v>
      </c>
      <c r="L327" s="17">
        <f t="shared" si="73"/>
        <v>626.17499999999995</v>
      </c>
      <c r="M327" s="38">
        <f>K327*24</f>
        <v>1252.3499999999999</v>
      </c>
      <c r="N327" s="47" t="s">
        <v>1342</v>
      </c>
      <c r="O327" s="25">
        <v>46499</v>
      </c>
    </row>
    <row r="328" spans="1:21" ht="34.5" customHeight="1">
      <c r="A328" s="11" t="s">
        <v>1222</v>
      </c>
      <c r="B328" s="36" t="s">
        <v>1223</v>
      </c>
      <c r="C328" s="173" t="s">
        <v>1397</v>
      </c>
      <c r="D328" s="144" t="s">
        <v>1222</v>
      </c>
      <c r="E328" s="14" t="s">
        <v>1398</v>
      </c>
      <c r="F328" s="11" t="s">
        <v>1399</v>
      </c>
      <c r="G328" s="11" t="s">
        <v>1400</v>
      </c>
      <c r="H328" s="13">
        <v>0</v>
      </c>
      <c r="I328" s="29" t="s">
        <v>1401</v>
      </c>
      <c r="J328" s="46" t="s">
        <v>1402</v>
      </c>
      <c r="K328" s="166">
        <v>255.6</v>
      </c>
      <c r="L328" s="17">
        <f t="shared" si="73"/>
        <v>3067.2</v>
      </c>
      <c r="M328" s="38">
        <f>K328*12</f>
        <v>3067.2</v>
      </c>
      <c r="N328" s="47" t="s">
        <v>36</v>
      </c>
      <c r="O328" s="25">
        <v>46050</v>
      </c>
    </row>
    <row r="329" spans="1:21" ht="34.5" customHeight="1">
      <c r="A329" s="11" t="s">
        <v>1222</v>
      </c>
      <c r="B329" s="36" t="s">
        <v>1223</v>
      </c>
      <c r="C329" s="173" t="s">
        <v>1403</v>
      </c>
      <c r="D329" s="144" t="s">
        <v>1222</v>
      </c>
      <c r="E329" s="14" t="s">
        <v>1404</v>
      </c>
      <c r="F329" s="11" t="s">
        <v>1405</v>
      </c>
      <c r="G329" s="11" t="s">
        <v>1406</v>
      </c>
      <c r="H329" s="13">
        <v>0</v>
      </c>
      <c r="I329" s="29" t="s">
        <v>1407</v>
      </c>
      <c r="J329" s="46" t="s">
        <v>35</v>
      </c>
      <c r="K329" s="166">
        <v>146903.7475</v>
      </c>
      <c r="L329" s="17">
        <f t="shared" si="73"/>
        <v>1762844.97</v>
      </c>
      <c r="M329" s="38">
        <f>K329*60</f>
        <v>8814224.8499999996</v>
      </c>
      <c r="N329" s="47" t="s">
        <v>44</v>
      </c>
      <c r="O329" s="25">
        <v>47602</v>
      </c>
    </row>
    <row r="330" spans="1:21" ht="34.5" customHeight="1">
      <c r="A330" s="11" t="s">
        <v>1222</v>
      </c>
      <c r="B330" s="36" t="s">
        <v>1223</v>
      </c>
      <c r="C330" s="173" t="s">
        <v>1408</v>
      </c>
      <c r="D330" s="144" t="s">
        <v>1222</v>
      </c>
      <c r="E330" s="14" t="s">
        <v>1409</v>
      </c>
      <c r="F330" s="11" t="s">
        <v>1410</v>
      </c>
      <c r="G330" s="11" t="s">
        <v>1411</v>
      </c>
      <c r="H330" s="13">
        <v>0</v>
      </c>
      <c r="I330" s="29" t="s">
        <v>1412</v>
      </c>
      <c r="J330" s="46" t="s">
        <v>1413</v>
      </c>
      <c r="K330" s="166">
        <v>730</v>
      </c>
      <c r="L330" s="17">
        <f t="shared" si="73"/>
        <v>8760</v>
      </c>
      <c r="M330" s="38">
        <f>K330*60</f>
        <v>43800</v>
      </c>
      <c r="N330" s="47" t="s">
        <v>51</v>
      </c>
      <c r="O330" s="25">
        <v>46097</v>
      </c>
    </row>
    <row r="331" spans="1:21" ht="34.5" customHeight="1">
      <c r="A331" s="11" t="s">
        <v>15</v>
      </c>
      <c r="B331" s="12" t="s">
        <v>25</v>
      </c>
      <c r="C331" s="174" t="s">
        <v>1414</v>
      </c>
      <c r="D331" s="13" t="s">
        <v>120</v>
      </c>
      <c r="E331" s="14" t="s">
        <v>1415</v>
      </c>
      <c r="F331" s="11" t="s">
        <v>1416</v>
      </c>
      <c r="G331" s="11" t="s">
        <v>1417</v>
      </c>
      <c r="H331" s="13">
        <v>2</v>
      </c>
      <c r="I331" s="15" t="s">
        <v>256</v>
      </c>
      <c r="J331" s="16" t="s">
        <v>257</v>
      </c>
      <c r="K331" s="17">
        <v>8542.52</v>
      </c>
      <c r="L331" s="17">
        <f t="shared" si="73"/>
        <v>102510.24</v>
      </c>
      <c r="M331" s="17">
        <f t="shared" ref="M331:M334" si="74">K331*30</f>
        <v>256275.6</v>
      </c>
      <c r="N331" s="18" t="s">
        <v>51</v>
      </c>
      <c r="O331" s="19">
        <v>45985</v>
      </c>
    </row>
    <row r="332" spans="1:21" ht="34.5" customHeight="1">
      <c r="A332" s="11" t="s">
        <v>15</v>
      </c>
      <c r="B332" s="12" t="s">
        <v>25</v>
      </c>
      <c r="C332" s="174" t="s">
        <v>1414</v>
      </c>
      <c r="D332" s="13" t="s">
        <v>26</v>
      </c>
      <c r="E332" s="14" t="s">
        <v>1415</v>
      </c>
      <c r="F332" s="11" t="s">
        <v>1416</v>
      </c>
      <c r="G332" s="11" t="s">
        <v>1417</v>
      </c>
      <c r="H332" s="13">
        <v>2</v>
      </c>
      <c r="I332" s="15" t="s">
        <v>256</v>
      </c>
      <c r="J332" s="16" t="s">
        <v>257</v>
      </c>
      <c r="K332" s="44">
        <v>8646.18</v>
      </c>
      <c r="L332" s="17">
        <f t="shared" si="73"/>
        <v>103754.16</v>
      </c>
      <c r="M332" s="17">
        <f t="shared" si="74"/>
        <v>259385.40000000002</v>
      </c>
      <c r="N332" s="18" t="s">
        <v>51</v>
      </c>
      <c r="O332" s="19">
        <v>45985</v>
      </c>
    </row>
    <row r="333" spans="1:21" ht="34.5" customHeight="1">
      <c r="A333" s="11" t="s">
        <v>15</v>
      </c>
      <c r="B333" s="12" t="s">
        <v>25</v>
      </c>
      <c r="C333" s="174" t="s">
        <v>1418</v>
      </c>
      <c r="D333" s="13" t="s">
        <v>26</v>
      </c>
      <c r="E333" s="14" t="s">
        <v>114</v>
      </c>
      <c r="F333" s="11" t="s">
        <v>1419</v>
      </c>
      <c r="G333" s="11" t="s">
        <v>1417</v>
      </c>
      <c r="H333" s="13">
        <v>2</v>
      </c>
      <c r="I333" s="11" t="s">
        <v>1420</v>
      </c>
      <c r="J333" s="11" t="s">
        <v>1421</v>
      </c>
      <c r="K333" s="17">
        <v>8542.52</v>
      </c>
      <c r="L333" s="17">
        <f t="shared" si="73"/>
        <v>102510.24</v>
      </c>
      <c r="M333" s="17">
        <f t="shared" si="74"/>
        <v>256275.6</v>
      </c>
      <c r="N333" s="20" t="s">
        <v>51</v>
      </c>
      <c r="O333" s="21">
        <v>45985</v>
      </c>
    </row>
    <row r="334" spans="1:21" ht="34.5" customHeight="1">
      <c r="A334" s="11" t="s">
        <v>15</v>
      </c>
      <c r="B334" s="12" t="s">
        <v>25</v>
      </c>
      <c r="C334" s="174" t="s">
        <v>1418</v>
      </c>
      <c r="D334" s="13" t="s">
        <v>120</v>
      </c>
      <c r="E334" s="14" t="s">
        <v>114</v>
      </c>
      <c r="F334" s="11" t="s">
        <v>1419</v>
      </c>
      <c r="G334" s="11" t="s">
        <v>1417</v>
      </c>
      <c r="H334" s="13">
        <v>2</v>
      </c>
      <c r="I334" s="11" t="s">
        <v>1420</v>
      </c>
      <c r="J334" s="11" t="s">
        <v>1421</v>
      </c>
      <c r="K334" s="17">
        <v>8646.18</v>
      </c>
      <c r="L334" s="17">
        <f t="shared" si="73"/>
        <v>103754.16</v>
      </c>
      <c r="M334" s="17">
        <f t="shared" si="74"/>
        <v>259385.40000000002</v>
      </c>
      <c r="N334" s="20" t="s">
        <v>51</v>
      </c>
      <c r="O334" s="21">
        <v>45985</v>
      </c>
    </row>
    <row r="335" spans="1:21" customFormat="1" ht="61.5">
      <c r="A335" s="11" t="s">
        <v>15</v>
      </c>
      <c r="B335" s="26" t="s">
        <v>16</v>
      </c>
      <c r="C335" s="171" t="s">
        <v>1422</v>
      </c>
      <c r="D335" s="27" t="s">
        <v>18</v>
      </c>
      <c r="E335" s="28" t="s">
        <v>1423</v>
      </c>
      <c r="F335" s="11" t="s">
        <v>1424</v>
      </c>
      <c r="G335" s="35" t="s">
        <v>1425</v>
      </c>
      <c r="H335" s="30">
        <v>0</v>
      </c>
      <c r="I335" s="29" t="s">
        <v>1426</v>
      </c>
      <c r="J335" s="31" t="s">
        <v>1427</v>
      </c>
      <c r="K335" s="32">
        <v>1925</v>
      </c>
      <c r="L335" s="32">
        <v>23100</v>
      </c>
      <c r="M335" s="33">
        <v>23100</v>
      </c>
      <c r="N335" s="24" t="s">
        <v>36</v>
      </c>
      <c r="O335" s="34">
        <v>46308</v>
      </c>
      <c r="P335" s="158"/>
      <c r="Q335" s="158"/>
      <c r="R335" s="158"/>
      <c r="S335" s="158"/>
      <c r="T335" s="182"/>
      <c r="U335" s="158"/>
    </row>
    <row r="336" spans="1:21" ht="34.5" customHeight="1">
      <c r="A336" s="35" t="s">
        <v>15</v>
      </c>
      <c r="B336" s="40" t="s">
        <v>16</v>
      </c>
      <c r="C336" s="172" t="s">
        <v>1428</v>
      </c>
      <c r="D336" s="41" t="s">
        <v>1429</v>
      </c>
      <c r="E336" s="48" t="s">
        <v>95</v>
      </c>
      <c r="F336" s="35" t="s">
        <v>1430</v>
      </c>
      <c r="G336" s="35" t="s">
        <v>1431</v>
      </c>
      <c r="H336" s="49">
        <v>7</v>
      </c>
      <c r="I336" s="35" t="s">
        <v>1432</v>
      </c>
      <c r="J336" s="35" t="s">
        <v>1433</v>
      </c>
      <c r="K336" s="44">
        <v>44916.639999999999</v>
      </c>
      <c r="L336" s="44">
        <v>538999.67999999993</v>
      </c>
      <c r="M336" s="50">
        <v>2694998.4</v>
      </c>
      <c r="N336" s="24" t="s">
        <v>44</v>
      </c>
      <c r="O336" s="39">
        <v>47664</v>
      </c>
    </row>
    <row r="337" spans="1:21" ht="34.5" customHeight="1">
      <c r="A337" s="35" t="s">
        <v>15</v>
      </c>
      <c r="B337" s="40" t="s">
        <v>16</v>
      </c>
      <c r="C337" s="35" t="s">
        <v>1434</v>
      </c>
      <c r="D337" s="41" t="s">
        <v>1429</v>
      </c>
      <c r="E337" s="45" t="s">
        <v>71</v>
      </c>
      <c r="F337" s="35" t="s">
        <v>1435</v>
      </c>
      <c r="G337" s="11" t="s">
        <v>41</v>
      </c>
      <c r="H337" s="49">
        <v>0</v>
      </c>
      <c r="I337" s="177" t="s">
        <v>1436</v>
      </c>
      <c r="J337" s="35" t="s">
        <v>1437</v>
      </c>
      <c r="K337" s="44">
        <v>4000</v>
      </c>
      <c r="L337" s="44">
        <v>48000</v>
      </c>
      <c r="M337" s="50">
        <v>240000</v>
      </c>
      <c r="N337" s="24" t="s">
        <v>44</v>
      </c>
      <c r="O337" s="39">
        <v>47737</v>
      </c>
    </row>
    <row r="338" spans="1:21" ht="34.5" customHeight="1">
      <c r="A338" s="35" t="s">
        <v>15</v>
      </c>
      <c r="B338" s="40" t="s">
        <v>16</v>
      </c>
      <c r="C338" s="35" t="s">
        <v>1438</v>
      </c>
      <c r="D338" s="41" t="s">
        <v>1429</v>
      </c>
      <c r="E338" s="14" t="s">
        <v>39</v>
      </c>
      <c r="F338" s="35" t="s">
        <v>1439</v>
      </c>
      <c r="G338" s="11" t="s">
        <v>41</v>
      </c>
      <c r="H338" s="48">
        <v>0</v>
      </c>
      <c r="I338" s="178" t="s">
        <v>1440</v>
      </c>
      <c r="J338" s="51" t="s">
        <v>1441</v>
      </c>
      <c r="K338" s="44">
        <v>38236.088000000003</v>
      </c>
      <c r="L338" s="44">
        <v>458833.05600000004</v>
      </c>
      <c r="M338" s="50">
        <v>2294165.2800000003</v>
      </c>
      <c r="N338" s="24" t="s">
        <v>44</v>
      </c>
      <c r="O338" s="39">
        <v>47735</v>
      </c>
    </row>
    <row r="339" spans="1:21" customFormat="1" ht="15">
      <c r="A339" s="11" t="s">
        <v>15</v>
      </c>
      <c r="B339" s="36" t="s">
        <v>27</v>
      </c>
      <c r="C339" s="173" t="s">
        <v>1442</v>
      </c>
      <c r="D339" s="13" t="s">
        <v>29</v>
      </c>
      <c r="E339" s="14" t="s">
        <v>101</v>
      </c>
      <c r="F339" s="11" t="s">
        <v>1443</v>
      </c>
      <c r="G339" s="11" t="s">
        <v>1444</v>
      </c>
      <c r="H339" s="13">
        <v>0</v>
      </c>
      <c r="I339" s="11" t="s">
        <v>1445</v>
      </c>
      <c r="J339" s="11" t="s">
        <v>1446</v>
      </c>
      <c r="K339">
        <f>57183.99/12</f>
        <v>4765.3324999999995</v>
      </c>
      <c r="L339" s="17">
        <v>59539.89</v>
      </c>
      <c r="M339" s="17">
        <v>297699.45</v>
      </c>
      <c r="N339" s="24" t="s">
        <v>44</v>
      </c>
      <c r="O339" s="25">
        <v>47701</v>
      </c>
      <c r="P339" s="158"/>
      <c r="Q339" s="158"/>
      <c r="R339" s="158"/>
      <c r="S339" s="158"/>
      <c r="T339" s="182"/>
      <c r="U339" s="158"/>
    </row>
    <row r="340" spans="1:21" customFormat="1" ht="15">
      <c r="A340" s="11" t="s">
        <v>15</v>
      </c>
      <c r="B340" s="36" t="s">
        <v>27</v>
      </c>
      <c r="C340" s="173" t="s">
        <v>1442</v>
      </c>
      <c r="D340" s="13" t="s">
        <v>28</v>
      </c>
      <c r="E340" s="14" t="s">
        <v>101</v>
      </c>
      <c r="F340" s="11" t="s">
        <v>1443</v>
      </c>
      <c r="G340" s="11" t="s">
        <v>1444</v>
      </c>
      <c r="H340" s="13">
        <v>0</v>
      </c>
      <c r="I340" s="11" t="s">
        <v>1445</v>
      </c>
      <c r="J340" s="11" t="s">
        <v>1446</v>
      </c>
      <c r="K340">
        <f>14833.56/12</f>
        <v>1236.1299999999999</v>
      </c>
      <c r="L340" s="17">
        <v>59539.89</v>
      </c>
      <c r="M340" s="17">
        <v>297699.45</v>
      </c>
      <c r="N340" s="24" t="s">
        <v>44</v>
      </c>
      <c r="O340" s="25">
        <v>47701</v>
      </c>
      <c r="P340" s="158"/>
      <c r="Q340" s="158"/>
      <c r="R340" s="158"/>
      <c r="S340" s="158"/>
      <c r="T340" s="182"/>
      <c r="U340" s="158"/>
    </row>
    <row r="341" spans="1:21" customFormat="1" ht="15">
      <c r="A341" s="11" t="s">
        <v>15</v>
      </c>
      <c r="B341" s="36" t="s">
        <v>27</v>
      </c>
      <c r="C341" s="173" t="s">
        <v>1447</v>
      </c>
      <c r="D341" s="13" t="s">
        <v>1448</v>
      </c>
      <c r="E341" s="14" t="s">
        <v>224</v>
      </c>
      <c r="F341" s="11" t="s">
        <v>1449</v>
      </c>
      <c r="G341" s="11" t="s">
        <v>1450</v>
      </c>
      <c r="H341" s="13">
        <v>1</v>
      </c>
      <c r="I341" s="22" t="s">
        <v>1451</v>
      </c>
      <c r="J341" s="23" t="s">
        <v>1452</v>
      </c>
      <c r="K341" s="17">
        <v>10175</v>
      </c>
      <c r="L341" s="17">
        <v>122100</v>
      </c>
      <c r="M341" s="33">
        <v>610500</v>
      </c>
      <c r="N341" s="54" t="s">
        <v>44</v>
      </c>
      <c r="O341" s="39">
        <v>47728</v>
      </c>
      <c r="P341" s="158"/>
      <c r="Q341" s="158"/>
      <c r="R341" s="158"/>
      <c r="S341" s="158"/>
      <c r="T341" s="182"/>
      <c r="U341" s="158"/>
    </row>
    <row r="342" spans="1:21" customFormat="1" ht="21.75">
      <c r="A342" s="11" t="s">
        <v>15</v>
      </c>
      <c r="B342" s="26" t="s">
        <v>27</v>
      </c>
      <c r="C342" s="173" t="s">
        <v>1453</v>
      </c>
      <c r="D342" s="27" t="s">
        <v>29</v>
      </c>
      <c r="E342" s="14" t="s">
        <v>95</v>
      </c>
      <c r="F342" s="11" t="s">
        <v>1454</v>
      </c>
      <c r="G342" s="11" t="s">
        <v>1455</v>
      </c>
      <c r="H342" s="27">
        <v>1</v>
      </c>
      <c r="I342" s="16" t="s">
        <v>1456</v>
      </c>
      <c r="J342" s="46" t="s">
        <v>1457</v>
      </c>
      <c r="K342" s="59">
        <v>5102.24</v>
      </c>
      <c r="L342" s="17">
        <v>60613.56</v>
      </c>
      <c r="M342" s="33">
        <v>303067.8</v>
      </c>
      <c r="N342" s="24" t="s">
        <v>1458</v>
      </c>
      <c r="O342" s="25">
        <v>47511</v>
      </c>
      <c r="P342" s="158"/>
      <c r="Q342" s="158"/>
      <c r="R342" s="158"/>
      <c r="S342" s="158"/>
      <c r="T342" s="182"/>
      <c r="U342" s="158"/>
    </row>
    <row r="343" spans="1:21" customFormat="1" ht="21.75">
      <c r="A343" s="35" t="s">
        <v>146</v>
      </c>
      <c r="B343" s="71" t="s">
        <v>147</v>
      </c>
      <c r="C343" s="172" t="s">
        <v>1459</v>
      </c>
      <c r="D343" s="49" t="s">
        <v>1460</v>
      </c>
      <c r="E343" s="48" t="s">
        <v>1461</v>
      </c>
      <c r="F343" s="72" t="s">
        <v>1462</v>
      </c>
      <c r="G343" s="35" t="s">
        <v>1463</v>
      </c>
      <c r="H343" s="49">
        <v>0</v>
      </c>
      <c r="I343" s="35" t="s">
        <v>1464</v>
      </c>
      <c r="J343" s="35" t="s">
        <v>1465</v>
      </c>
      <c r="K343" s="57">
        <v>975</v>
      </c>
      <c r="L343" s="44">
        <v>11700</v>
      </c>
      <c r="M343" s="44">
        <v>58500</v>
      </c>
      <c r="N343" s="24" t="s">
        <v>44</v>
      </c>
      <c r="O343" s="39">
        <v>47664</v>
      </c>
      <c r="P343" s="158"/>
      <c r="Q343" s="158"/>
      <c r="R343" s="158"/>
      <c r="S343" s="158"/>
      <c r="T343" s="182"/>
      <c r="U343" s="158"/>
    </row>
    <row r="344" spans="1:21" customFormat="1" ht="15">
      <c r="A344" s="62" t="s">
        <v>146</v>
      </c>
      <c r="B344" s="36" t="s">
        <v>167</v>
      </c>
      <c r="C344" s="173" t="s">
        <v>1466</v>
      </c>
      <c r="D344" s="13" t="s">
        <v>1467</v>
      </c>
      <c r="E344" s="14" t="s">
        <v>95</v>
      </c>
      <c r="F344" s="11" t="s">
        <v>1468</v>
      </c>
      <c r="G344" s="11" t="s">
        <v>1469</v>
      </c>
      <c r="H344" s="13">
        <v>1</v>
      </c>
      <c r="I344" s="22" t="s">
        <v>903</v>
      </c>
      <c r="J344" s="74" t="s">
        <v>904</v>
      </c>
      <c r="K344" s="17">
        <v>6499.99</v>
      </c>
      <c r="L344" s="17">
        <v>77999.88</v>
      </c>
      <c r="M344" s="17">
        <v>389999.39999999997</v>
      </c>
      <c r="N344" s="75" t="s">
        <v>44</v>
      </c>
      <c r="O344" s="25">
        <v>47699</v>
      </c>
      <c r="P344" s="158"/>
      <c r="Q344" s="158"/>
      <c r="R344" s="158"/>
      <c r="S344" s="158"/>
      <c r="T344" s="182"/>
      <c r="U344" s="158"/>
    </row>
    <row r="345" spans="1:21" customFormat="1" ht="15">
      <c r="A345" s="62" t="s">
        <v>146</v>
      </c>
      <c r="B345" s="36" t="s">
        <v>214</v>
      </c>
      <c r="C345" s="173" t="s">
        <v>1470</v>
      </c>
      <c r="D345" s="27" t="s">
        <v>223</v>
      </c>
      <c r="E345" s="14" t="s">
        <v>95</v>
      </c>
      <c r="F345" s="11" t="s">
        <v>1471</v>
      </c>
      <c r="G345" s="11" t="s">
        <v>1472</v>
      </c>
      <c r="H345" s="27">
        <v>1</v>
      </c>
      <c r="I345" s="22" t="s">
        <v>1473</v>
      </c>
      <c r="J345" s="16" t="s">
        <v>1474</v>
      </c>
      <c r="K345" s="59">
        <v>5466.66</v>
      </c>
      <c r="L345" s="17">
        <v>65599.92</v>
      </c>
      <c r="M345" s="17">
        <v>327999.59999999998</v>
      </c>
      <c r="N345" s="20" t="s">
        <v>44</v>
      </c>
      <c r="O345" s="60">
        <v>47764</v>
      </c>
      <c r="P345" s="158"/>
      <c r="Q345" s="158"/>
      <c r="R345" s="158"/>
      <c r="S345" s="158"/>
      <c r="T345" s="182"/>
      <c r="U345" s="158"/>
    </row>
    <row r="346" spans="1:21" customFormat="1" ht="15">
      <c r="A346" s="62" t="s">
        <v>146</v>
      </c>
      <c r="B346" s="26" t="s">
        <v>162</v>
      </c>
      <c r="C346" s="173" t="s">
        <v>1475</v>
      </c>
      <c r="D346" s="13" t="s">
        <v>1476</v>
      </c>
      <c r="E346" s="14" t="s">
        <v>224</v>
      </c>
      <c r="F346" s="11" t="s">
        <v>1477</v>
      </c>
      <c r="G346" s="11" t="s">
        <v>1478</v>
      </c>
      <c r="H346" s="13">
        <v>1</v>
      </c>
      <c r="I346" s="11" t="s">
        <v>1479</v>
      </c>
      <c r="J346" s="63" t="s">
        <v>1480</v>
      </c>
      <c r="K346" s="17">
        <v>11086.14</v>
      </c>
      <c r="L346" s="17">
        <v>133033.68</v>
      </c>
      <c r="M346" s="17">
        <v>665168.39999999991</v>
      </c>
      <c r="N346" s="49" t="s">
        <v>44</v>
      </c>
      <c r="O346" s="39">
        <v>47658</v>
      </c>
      <c r="P346" s="158"/>
      <c r="Q346" s="158"/>
      <c r="R346" s="158"/>
      <c r="S346" s="158"/>
      <c r="T346" s="182"/>
      <c r="U346" s="158"/>
    </row>
    <row r="347" spans="1:21" customFormat="1" ht="15">
      <c r="A347" s="11" t="s">
        <v>146</v>
      </c>
      <c r="B347" s="36" t="s">
        <v>165</v>
      </c>
      <c r="C347" s="11" t="s">
        <v>1481</v>
      </c>
      <c r="D347" s="13" t="s">
        <v>1482</v>
      </c>
      <c r="E347" s="14" t="s">
        <v>71</v>
      </c>
      <c r="F347" s="11" t="s">
        <v>1483</v>
      </c>
      <c r="G347" s="11" t="s">
        <v>41</v>
      </c>
      <c r="H347" s="13">
        <v>0</v>
      </c>
      <c r="I347" s="22" t="s">
        <v>1484</v>
      </c>
      <c r="J347" s="46" t="s">
        <v>1485</v>
      </c>
      <c r="K347" s="17">
        <v>1372.97</v>
      </c>
      <c r="L347" s="17">
        <v>16475.64</v>
      </c>
      <c r="M347" s="17">
        <v>82378.2</v>
      </c>
      <c r="N347" s="54" t="s">
        <v>44</v>
      </c>
      <c r="O347" s="19">
        <v>47629</v>
      </c>
      <c r="P347" s="158"/>
      <c r="Q347" s="158"/>
      <c r="R347" s="158"/>
      <c r="S347" s="158"/>
      <c r="T347" s="182"/>
      <c r="U347" s="158"/>
    </row>
    <row r="348" spans="1:21" customFormat="1" ht="15">
      <c r="A348" s="62" t="s">
        <v>146</v>
      </c>
      <c r="B348" s="36" t="s">
        <v>165</v>
      </c>
      <c r="C348" s="173" t="s">
        <v>1486</v>
      </c>
      <c r="D348" s="13" t="s">
        <v>1482</v>
      </c>
      <c r="E348" s="45" t="s">
        <v>101</v>
      </c>
      <c r="F348" s="11" t="s">
        <v>1487</v>
      </c>
      <c r="G348" s="11" t="s">
        <v>1488</v>
      </c>
      <c r="H348" s="13">
        <v>0</v>
      </c>
      <c r="I348" s="73" t="s">
        <v>1445</v>
      </c>
      <c r="J348" s="23" t="s">
        <v>1446</v>
      </c>
      <c r="K348" s="17">
        <v>4375.6683333333303</v>
      </c>
      <c r="L348" s="17">
        <v>52508.01999999996</v>
      </c>
      <c r="M348" s="17">
        <v>262540.0999999998</v>
      </c>
      <c r="N348" s="47" t="s">
        <v>44</v>
      </c>
      <c r="O348" s="39">
        <v>47695</v>
      </c>
      <c r="P348" s="158"/>
      <c r="Q348" s="158"/>
      <c r="R348" s="158"/>
      <c r="S348" s="158"/>
      <c r="T348" s="182"/>
      <c r="U348" s="158"/>
    </row>
    <row r="349" spans="1:21" customFormat="1" ht="15">
      <c r="A349" s="62" t="s">
        <v>146</v>
      </c>
      <c r="B349" s="36" t="s">
        <v>155</v>
      </c>
      <c r="C349" s="172" t="s">
        <v>1489</v>
      </c>
      <c r="D349" s="27" t="s">
        <v>1490</v>
      </c>
      <c r="E349" s="48" t="s">
        <v>95</v>
      </c>
      <c r="F349" s="35" t="s">
        <v>1491</v>
      </c>
      <c r="G349" s="35" t="s">
        <v>1492</v>
      </c>
      <c r="H349" s="41">
        <v>1</v>
      </c>
      <c r="I349" s="86" t="s">
        <v>1493</v>
      </c>
      <c r="J349" s="87" t="s">
        <v>1494</v>
      </c>
      <c r="K349" s="80">
        <v>4652.9799999999996</v>
      </c>
      <c r="L349" s="44">
        <v>55835.759999999995</v>
      </c>
      <c r="M349" s="44">
        <v>279178.8</v>
      </c>
      <c r="N349" s="81" t="s">
        <v>44</v>
      </c>
      <c r="O349" s="21">
        <v>47628</v>
      </c>
      <c r="P349" s="158"/>
      <c r="Q349" s="158"/>
      <c r="R349" s="158"/>
      <c r="S349" s="158"/>
      <c r="T349" s="182"/>
      <c r="U349" s="158"/>
    </row>
    <row r="350" spans="1:21" customFormat="1" ht="15">
      <c r="A350" s="62" t="s">
        <v>146</v>
      </c>
      <c r="B350" s="26" t="s">
        <v>155</v>
      </c>
      <c r="C350" s="173" t="s">
        <v>1495</v>
      </c>
      <c r="D350" s="27" t="s">
        <v>1490</v>
      </c>
      <c r="E350" s="14" t="s">
        <v>224</v>
      </c>
      <c r="F350" s="11" t="s">
        <v>1496</v>
      </c>
      <c r="G350" s="11" t="s">
        <v>1497</v>
      </c>
      <c r="H350" s="30">
        <v>1</v>
      </c>
      <c r="I350" s="22" t="s">
        <v>322</v>
      </c>
      <c r="J350" s="46" t="s">
        <v>323</v>
      </c>
      <c r="K350" s="17">
        <v>11687.5</v>
      </c>
      <c r="L350" s="17">
        <v>140250</v>
      </c>
      <c r="M350" s="17">
        <v>701250</v>
      </c>
      <c r="N350" s="24" t="s">
        <v>44</v>
      </c>
      <c r="O350" s="25">
        <v>47770</v>
      </c>
      <c r="P350" s="158"/>
      <c r="Q350" s="158"/>
      <c r="R350" s="158"/>
      <c r="S350" s="158"/>
      <c r="T350" s="182"/>
      <c r="U350" s="158"/>
    </row>
    <row r="351" spans="1:21" customFormat="1" ht="21.75">
      <c r="A351" s="29" t="s">
        <v>339</v>
      </c>
      <c r="B351" s="12" t="s">
        <v>425</v>
      </c>
      <c r="C351" s="174" t="s">
        <v>1498</v>
      </c>
      <c r="D351" s="13" t="s">
        <v>1499</v>
      </c>
      <c r="E351" s="14" t="s">
        <v>224</v>
      </c>
      <c r="F351" s="11" t="s">
        <v>1500</v>
      </c>
      <c r="G351" s="11" t="s">
        <v>1501</v>
      </c>
      <c r="H351" s="13">
        <v>2</v>
      </c>
      <c r="I351" s="15" t="s">
        <v>1502</v>
      </c>
      <c r="J351" s="63" t="s">
        <v>1503</v>
      </c>
      <c r="K351" s="17">
        <v>10776.22</v>
      </c>
      <c r="L351" s="17">
        <v>274088.88</v>
      </c>
      <c r="M351" s="17">
        <v>1370444.4000000001</v>
      </c>
      <c r="N351" s="47" t="s">
        <v>1504</v>
      </c>
      <c r="O351" s="39">
        <v>47664</v>
      </c>
      <c r="P351" s="158"/>
      <c r="Q351" s="158"/>
      <c r="R351" s="158"/>
      <c r="S351" s="158"/>
      <c r="T351" s="182"/>
      <c r="U351" s="158"/>
    </row>
    <row r="352" spans="1:21" customFormat="1" ht="21.75">
      <c r="A352" s="29" t="s">
        <v>339</v>
      </c>
      <c r="B352" s="12" t="s">
        <v>425</v>
      </c>
      <c r="C352" s="174" t="s">
        <v>1498</v>
      </c>
      <c r="D352" s="13" t="s">
        <v>552</v>
      </c>
      <c r="E352" s="14" t="s">
        <v>224</v>
      </c>
      <c r="F352" s="11" t="s">
        <v>1500</v>
      </c>
      <c r="G352" s="11" t="s">
        <v>1501</v>
      </c>
      <c r="H352" s="13">
        <v>2</v>
      </c>
      <c r="I352" s="15" t="s">
        <v>1502</v>
      </c>
      <c r="J352" s="63" t="s">
        <v>1503</v>
      </c>
      <c r="K352" s="17">
        <v>10789.62</v>
      </c>
      <c r="L352" s="17">
        <v>274088.88</v>
      </c>
      <c r="M352" s="17">
        <v>1370444.4000000001</v>
      </c>
      <c r="N352" s="47" t="s">
        <v>1504</v>
      </c>
      <c r="O352" s="39">
        <v>47664</v>
      </c>
      <c r="P352" s="158"/>
      <c r="Q352" s="158"/>
      <c r="R352" s="158"/>
      <c r="S352" s="158"/>
      <c r="T352" s="182"/>
      <c r="U352" s="158"/>
    </row>
    <row r="353" spans="1:21" customFormat="1" ht="32.25">
      <c r="A353" s="29" t="s">
        <v>339</v>
      </c>
      <c r="B353" s="90" t="s">
        <v>1505</v>
      </c>
      <c r="C353" s="30" t="s">
        <v>1506</v>
      </c>
      <c r="D353" s="30" t="s">
        <v>401</v>
      </c>
      <c r="E353" s="83" t="s">
        <v>101</v>
      </c>
      <c r="F353" s="30" t="s">
        <v>1507</v>
      </c>
      <c r="G353" s="30" t="s">
        <v>1444</v>
      </c>
      <c r="H353" s="30">
        <v>0</v>
      </c>
      <c r="I353" s="91" t="s">
        <v>1508</v>
      </c>
      <c r="J353" s="92" t="s">
        <v>1509</v>
      </c>
      <c r="K353" s="17">
        <f>16566.23/12</f>
        <v>1380.5191666666667</v>
      </c>
      <c r="L353" s="17">
        <v>202225.5799999992</v>
      </c>
      <c r="M353" s="17">
        <v>1011127.8999999959</v>
      </c>
      <c r="N353" s="24" t="s">
        <v>363</v>
      </c>
      <c r="O353" s="93">
        <v>47695</v>
      </c>
      <c r="P353" s="158"/>
      <c r="Q353" s="158"/>
      <c r="R353" s="158"/>
      <c r="S353" s="158"/>
      <c r="T353" s="182"/>
      <c r="U353" s="158"/>
    </row>
    <row r="354" spans="1:21" customFormat="1" ht="32.25">
      <c r="A354" s="29" t="s">
        <v>339</v>
      </c>
      <c r="B354" s="90" t="s">
        <v>1505</v>
      </c>
      <c r="C354" s="30" t="s">
        <v>1506</v>
      </c>
      <c r="D354" s="30" t="s">
        <v>499</v>
      </c>
      <c r="E354" s="83" t="s">
        <v>101</v>
      </c>
      <c r="F354" s="30" t="s">
        <v>1507</v>
      </c>
      <c r="G354" s="30" t="s">
        <v>1444</v>
      </c>
      <c r="H354" s="30">
        <v>0</v>
      </c>
      <c r="I354" s="91" t="s">
        <v>1508</v>
      </c>
      <c r="J354" s="92" t="s">
        <v>1509</v>
      </c>
      <c r="K354" s="17">
        <f>54729.99/12</f>
        <v>4560.8324999999995</v>
      </c>
      <c r="L354" s="17">
        <v>202225.5799999992</v>
      </c>
      <c r="M354" s="17">
        <v>1011127.8999999959</v>
      </c>
      <c r="N354" s="24" t="s">
        <v>363</v>
      </c>
      <c r="O354" s="93">
        <v>47695</v>
      </c>
      <c r="P354" s="158"/>
      <c r="Q354" s="158"/>
      <c r="R354" s="158"/>
      <c r="S354" s="158"/>
      <c r="T354" s="182"/>
      <c r="U354" s="158"/>
    </row>
    <row r="355" spans="1:21" customFormat="1" ht="32.25">
      <c r="A355" s="29" t="s">
        <v>339</v>
      </c>
      <c r="B355" s="90" t="s">
        <v>1505</v>
      </c>
      <c r="C355" s="30" t="s">
        <v>1506</v>
      </c>
      <c r="D355" s="30" t="s">
        <v>342</v>
      </c>
      <c r="E355" s="83" t="s">
        <v>101</v>
      </c>
      <c r="F355" s="30" t="s">
        <v>1507</v>
      </c>
      <c r="G355" s="30" t="s">
        <v>1444</v>
      </c>
      <c r="H355" s="30">
        <v>0</v>
      </c>
      <c r="I355" s="91" t="s">
        <v>1508</v>
      </c>
      <c r="J355" s="92" t="s">
        <v>1509</v>
      </c>
      <c r="K355" s="17">
        <f>14010.87/12</f>
        <v>1167.5725</v>
      </c>
      <c r="L355" s="17">
        <v>202225.5799999992</v>
      </c>
      <c r="M355" s="17">
        <v>1011127.8999999959</v>
      </c>
      <c r="N355" s="24" t="s">
        <v>363</v>
      </c>
      <c r="O355" s="93">
        <v>47695</v>
      </c>
      <c r="P355" s="158"/>
      <c r="Q355" s="158"/>
      <c r="R355" s="158"/>
      <c r="S355" s="158"/>
      <c r="T355" s="182"/>
      <c r="U355" s="158"/>
    </row>
    <row r="356" spans="1:21" customFormat="1" ht="32.25">
      <c r="A356" s="29" t="s">
        <v>339</v>
      </c>
      <c r="B356" s="90" t="s">
        <v>1505</v>
      </c>
      <c r="C356" s="30" t="s">
        <v>1506</v>
      </c>
      <c r="D356" s="30" t="s">
        <v>347</v>
      </c>
      <c r="E356" s="83" t="s">
        <v>101</v>
      </c>
      <c r="F356" s="30" t="s">
        <v>1507</v>
      </c>
      <c r="G356" s="30" t="s">
        <v>1444</v>
      </c>
      <c r="H356" s="30">
        <v>0</v>
      </c>
      <c r="I356" s="91" t="s">
        <v>1508</v>
      </c>
      <c r="J356" s="92" t="s">
        <v>1509</v>
      </c>
      <c r="K356" s="17">
        <f>61434.08/12</f>
        <v>5119.5066666666671</v>
      </c>
      <c r="L356" s="17">
        <v>202225.5799999992</v>
      </c>
      <c r="M356" s="17">
        <v>1011127.8999999959</v>
      </c>
      <c r="N356" s="24" t="s">
        <v>363</v>
      </c>
      <c r="O356" s="93">
        <v>47695</v>
      </c>
      <c r="P356" s="158"/>
      <c r="Q356" s="158"/>
      <c r="R356" s="158"/>
      <c r="S356" s="158"/>
      <c r="T356" s="182"/>
      <c r="U356" s="158"/>
    </row>
    <row r="357" spans="1:21" customFormat="1" ht="32.25">
      <c r="A357" s="29" t="s">
        <v>339</v>
      </c>
      <c r="B357" s="90" t="s">
        <v>1505</v>
      </c>
      <c r="C357" s="30" t="s">
        <v>1506</v>
      </c>
      <c r="D357" s="30" t="s">
        <v>348</v>
      </c>
      <c r="E357" s="83" t="s">
        <v>101</v>
      </c>
      <c r="F357" s="30" t="s">
        <v>1507</v>
      </c>
      <c r="G357" s="30" t="s">
        <v>1444</v>
      </c>
      <c r="H357" s="30">
        <v>0</v>
      </c>
      <c r="I357" s="91" t="s">
        <v>1508</v>
      </c>
      <c r="J357" s="92" t="s">
        <v>1509</v>
      </c>
      <c r="K357" s="17">
        <f>22126.95/12</f>
        <v>1843.9125000000001</v>
      </c>
      <c r="L357" s="17">
        <v>202225.5799999992</v>
      </c>
      <c r="M357" s="17">
        <v>1011127.8999999959</v>
      </c>
      <c r="N357" s="24" t="s">
        <v>363</v>
      </c>
      <c r="O357" s="93">
        <v>47695</v>
      </c>
      <c r="P357" s="158"/>
      <c r="Q357" s="158"/>
      <c r="R357" s="158"/>
      <c r="S357" s="158"/>
      <c r="T357" s="182"/>
      <c r="U357" s="158"/>
    </row>
    <row r="358" spans="1:21" customFormat="1" ht="32.25">
      <c r="A358" s="29" t="s">
        <v>339</v>
      </c>
      <c r="B358" s="90" t="s">
        <v>1505</v>
      </c>
      <c r="C358" s="30" t="s">
        <v>1506</v>
      </c>
      <c r="D358" s="30" t="s">
        <v>416</v>
      </c>
      <c r="E358" s="83" t="s">
        <v>101</v>
      </c>
      <c r="F358" s="30" t="s">
        <v>1507</v>
      </c>
      <c r="G358" s="30" t="s">
        <v>1444</v>
      </c>
      <c r="H358" s="30">
        <v>0</v>
      </c>
      <c r="I358" s="91" t="s">
        <v>1508</v>
      </c>
      <c r="J358" s="92" t="s">
        <v>1509</v>
      </c>
      <c r="K358" s="17">
        <f>19346.59/12</f>
        <v>1612.2158333333334</v>
      </c>
      <c r="L358" s="17">
        <v>202225.5799999992</v>
      </c>
      <c r="M358" s="17">
        <v>1011127.8999999959</v>
      </c>
      <c r="N358" s="24" t="s">
        <v>363</v>
      </c>
      <c r="O358" s="93">
        <v>47695</v>
      </c>
      <c r="P358" s="158"/>
      <c r="Q358" s="158"/>
      <c r="R358" s="158"/>
      <c r="S358" s="158"/>
      <c r="T358" s="182"/>
      <c r="U358" s="158"/>
    </row>
    <row r="359" spans="1:21" customFormat="1" ht="32.25">
      <c r="A359" s="29" t="s">
        <v>339</v>
      </c>
      <c r="B359" s="90" t="s">
        <v>1505</v>
      </c>
      <c r="C359" s="30" t="s">
        <v>1506</v>
      </c>
      <c r="D359" s="30" t="s">
        <v>427</v>
      </c>
      <c r="E359" s="83" t="s">
        <v>101</v>
      </c>
      <c r="F359" s="30" t="s">
        <v>1507</v>
      </c>
      <c r="G359" s="30" t="s">
        <v>1444</v>
      </c>
      <c r="H359" s="30">
        <v>0</v>
      </c>
      <c r="I359" s="91" t="s">
        <v>1508</v>
      </c>
      <c r="J359" s="92" t="s">
        <v>1509</v>
      </c>
      <c r="K359" s="17">
        <f>14010.87/2</f>
        <v>7005.4350000000004</v>
      </c>
      <c r="L359" s="17">
        <v>202225.5799999992</v>
      </c>
      <c r="M359" s="17">
        <v>1011127.8999999959</v>
      </c>
      <c r="N359" s="24" t="s">
        <v>363</v>
      </c>
      <c r="O359" s="93">
        <v>47695</v>
      </c>
      <c r="P359" s="158"/>
      <c r="Q359" s="158"/>
      <c r="R359" s="158"/>
      <c r="S359" s="158"/>
      <c r="T359" s="182"/>
      <c r="U359" s="158"/>
    </row>
    <row r="360" spans="1:21" customFormat="1" ht="21.75">
      <c r="A360" s="11" t="s">
        <v>339</v>
      </c>
      <c r="B360" s="36" t="s">
        <v>356</v>
      </c>
      <c r="C360" s="173" t="s">
        <v>1510</v>
      </c>
      <c r="D360" s="13" t="s">
        <v>358</v>
      </c>
      <c r="E360" s="14" t="s">
        <v>224</v>
      </c>
      <c r="F360" s="11" t="s">
        <v>1511</v>
      </c>
      <c r="G360" s="11" t="s">
        <v>1450</v>
      </c>
      <c r="H360" s="13">
        <v>1</v>
      </c>
      <c r="I360" s="22" t="s">
        <v>1512</v>
      </c>
      <c r="J360" s="23" t="s">
        <v>1513</v>
      </c>
      <c r="K360" s="17">
        <v>5690</v>
      </c>
      <c r="L360" s="17">
        <v>68280</v>
      </c>
      <c r="M360" s="17">
        <v>341400</v>
      </c>
      <c r="N360" s="24" t="s">
        <v>1514</v>
      </c>
      <c r="O360" s="39">
        <v>47727</v>
      </c>
      <c r="P360" s="158"/>
      <c r="Q360" s="158"/>
      <c r="R360" s="158"/>
      <c r="S360" s="158"/>
      <c r="T360" s="182"/>
      <c r="U360" s="158"/>
    </row>
    <row r="361" spans="1:21" customFormat="1" ht="15">
      <c r="A361" s="29" t="s">
        <v>339</v>
      </c>
      <c r="B361" s="12" t="s">
        <v>414</v>
      </c>
      <c r="C361" s="172" t="s">
        <v>1515</v>
      </c>
      <c r="D361" s="13" t="s">
        <v>416</v>
      </c>
      <c r="E361" s="42" t="s">
        <v>150</v>
      </c>
      <c r="F361" s="35" t="s">
        <v>1516</v>
      </c>
      <c r="G361" s="11" t="s">
        <v>1501</v>
      </c>
      <c r="H361" s="49">
        <v>2</v>
      </c>
      <c r="I361" s="35" t="s">
        <v>1502</v>
      </c>
      <c r="J361" s="43" t="s">
        <v>1517</v>
      </c>
      <c r="K361" s="57">
        <v>11642.68</v>
      </c>
      <c r="L361" s="17">
        <v>277176.48</v>
      </c>
      <c r="M361" s="17">
        <v>1385882.4000000001</v>
      </c>
      <c r="N361" s="24" t="s">
        <v>44</v>
      </c>
      <c r="O361" s="39">
        <v>47664</v>
      </c>
      <c r="P361" s="158"/>
      <c r="Q361" s="158"/>
      <c r="R361" s="158"/>
      <c r="S361" s="158"/>
      <c r="T361" s="182"/>
      <c r="U361" s="158"/>
    </row>
    <row r="362" spans="1:21" customFormat="1" ht="15">
      <c r="A362" s="29" t="s">
        <v>339</v>
      </c>
      <c r="B362" s="12" t="s">
        <v>414</v>
      </c>
      <c r="C362" s="172" t="s">
        <v>1515</v>
      </c>
      <c r="D362" s="13" t="s">
        <v>478</v>
      </c>
      <c r="E362" s="42" t="s">
        <v>150</v>
      </c>
      <c r="F362" s="35" t="s">
        <v>1516</v>
      </c>
      <c r="G362" s="11" t="s">
        <v>1501</v>
      </c>
      <c r="H362" s="49">
        <v>2</v>
      </c>
      <c r="I362" s="35" t="s">
        <v>1502</v>
      </c>
      <c r="J362" s="43" t="s">
        <v>1517</v>
      </c>
      <c r="K362" s="57">
        <v>11455.36</v>
      </c>
      <c r="L362" s="17">
        <v>277176.48</v>
      </c>
      <c r="M362" s="17">
        <v>1385882.4000000001</v>
      </c>
      <c r="N362" s="24" t="s">
        <v>44</v>
      </c>
      <c r="O362" s="39">
        <v>47664</v>
      </c>
      <c r="P362" s="158"/>
      <c r="Q362" s="158"/>
      <c r="R362" s="158"/>
      <c r="S362" s="158"/>
      <c r="T362" s="182"/>
      <c r="U362" s="158"/>
    </row>
    <row r="363" spans="1:21" customFormat="1" ht="15">
      <c r="A363" s="11" t="s">
        <v>339</v>
      </c>
      <c r="B363" s="36" t="s">
        <v>414</v>
      </c>
      <c r="C363" s="11" t="s">
        <v>1518</v>
      </c>
      <c r="D363" s="13" t="s">
        <v>416</v>
      </c>
      <c r="E363" s="97" t="s">
        <v>71</v>
      </c>
      <c r="F363" s="11" t="s">
        <v>1519</v>
      </c>
      <c r="G363" s="11" t="s">
        <v>41</v>
      </c>
      <c r="H363" s="13">
        <v>0</v>
      </c>
      <c r="I363" s="11" t="s">
        <v>418</v>
      </c>
      <c r="J363" s="11" t="s">
        <v>1520</v>
      </c>
      <c r="K363" s="17">
        <v>1784.6</v>
      </c>
      <c r="L363" s="17">
        <v>21415.199999999997</v>
      </c>
      <c r="M363" s="38">
        <v>21415.199999999997</v>
      </c>
      <c r="N363" s="24" t="s">
        <v>80</v>
      </c>
      <c r="O363" s="25" t="s">
        <v>80</v>
      </c>
      <c r="P363" s="158"/>
      <c r="Q363" s="158"/>
      <c r="R363" s="158"/>
      <c r="S363" s="158"/>
      <c r="T363" s="182"/>
      <c r="U363" s="158"/>
    </row>
    <row r="364" spans="1:21" customFormat="1" ht="21.75">
      <c r="A364" s="11" t="s">
        <v>339</v>
      </c>
      <c r="B364" s="36" t="s">
        <v>414</v>
      </c>
      <c r="C364" s="173" t="s">
        <v>1521</v>
      </c>
      <c r="D364" s="14" t="s">
        <v>416</v>
      </c>
      <c r="E364" s="98" t="s">
        <v>95</v>
      </c>
      <c r="F364" s="99" t="s">
        <v>1522</v>
      </c>
      <c r="G364" s="11" t="s">
        <v>1523</v>
      </c>
      <c r="H364" s="13">
        <v>3</v>
      </c>
      <c r="I364" s="23" t="s">
        <v>1524</v>
      </c>
      <c r="J364" s="46" t="s">
        <v>1525</v>
      </c>
      <c r="K364" s="17">
        <v>14467.67</v>
      </c>
      <c r="L364" s="17">
        <v>173612.04</v>
      </c>
      <c r="M364" s="38">
        <v>868060.2</v>
      </c>
      <c r="N364" s="24" t="s">
        <v>1526</v>
      </c>
      <c r="O364" s="25">
        <v>47764</v>
      </c>
      <c r="P364" s="158"/>
      <c r="Q364" s="158"/>
      <c r="R364" s="158"/>
      <c r="S364" s="158"/>
      <c r="T364" s="182"/>
      <c r="U364" s="158"/>
    </row>
    <row r="365" spans="1:21" customFormat="1" ht="21.75">
      <c r="A365" s="11" t="s">
        <v>339</v>
      </c>
      <c r="B365" s="36" t="s">
        <v>414</v>
      </c>
      <c r="C365" s="11" t="s">
        <v>1527</v>
      </c>
      <c r="D365" s="13" t="s">
        <v>416</v>
      </c>
      <c r="E365" s="83" t="s">
        <v>1528</v>
      </c>
      <c r="F365" s="11" t="s">
        <v>1529</v>
      </c>
      <c r="G365" s="11" t="s">
        <v>41</v>
      </c>
      <c r="H365" s="13">
        <v>0</v>
      </c>
      <c r="I365" s="23" t="s">
        <v>1530</v>
      </c>
      <c r="J365" s="23" t="s">
        <v>1531</v>
      </c>
      <c r="K365" s="17">
        <v>0</v>
      </c>
      <c r="L365" s="17">
        <v>0</v>
      </c>
      <c r="M365" s="38">
        <v>0</v>
      </c>
      <c r="N365" s="24" t="s">
        <v>80</v>
      </c>
      <c r="O365" s="25" t="s">
        <v>80</v>
      </c>
      <c r="P365" s="158"/>
      <c r="Q365" s="158"/>
      <c r="R365" s="158"/>
      <c r="S365" s="158"/>
      <c r="T365" s="182"/>
      <c r="U365" s="158"/>
    </row>
    <row r="366" spans="1:21" customFormat="1" ht="21.75">
      <c r="A366" s="11" t="s">
        <v>339</v>
      </c>
      <c r="B366" s="36" t="s">
        <v>454</v>
      </c>
      <c r="C366" s="173" t="s">
        <v>1532</v>
      </c>
      <c r="D366" s="13" t="s">
        <v>456</v>
      </c>
      <c r="E366" s="14" t="s">
        <v>150</v>
      </c>
      <c r="F366" s="11" t="s">
        <v>1533</v>
      </c>
      <c r="G366" s="11" t="s">
        <v>1534</v>
      </c>
      <c r="H366" s="13">
        <v>2</v>
      </c>
      <c r="I366" s="22" t="s">
        <v>1535</v>
      </c>
      <c r="J366" s="22" t="s">
        <v>1536</v>
      </c>
      <c r="K366" s="17">
        <v>6181.26</v>
      </c>
      <c r="L366" s="17">
        <v>224596.32</v>
      </c>
      <c r="M366" s="38">
        <v>1122981.6000000001</v>
      </c>
      <c r="N366" s="52" t="s">
        <v>1537</v>
      </c>
      <c r="O366" s="39">
        <v>47727</v>
      </c>
      <c r="P366" s="158"/>
      <c r="Q366" s="158"/>
      <c r="R366" s="158"/>
      <c r="S366" s="158"/>
      <c r="T366" s="182"/>
      <c r="U366" s="158"/>
    </row>
    <row r="367" spans="1:21" customFormat="1" ht="21.75">
      <c r="A367" s="11" t="s">
        <v>339</v>
      </c>
      <c r="B367" s="36" t="s">
        <v>454</v>
      </c>
      <c r="C367" s="173" t="s">
        <v>1532</v>
      </c>
      <c r="D367" s="13" t="s">
        <v>624</v>
      </c>
      <c r="E367" s="14" t="s">
        <v>150</v>
      </c>
      <c r="F367" s="11" t="s">
        <v>1533</v>
      </c>
      <c r="G367" s="11" t="s">
        <v>1534</v>
      </c>
      <c r="H367" s="13">
        <v>2</v>
      </c>
      <c r="I367" s="22" t="s">
        <v>1535</v>
      </c>
      <c r="J367" s="22" t="s">
        <v>1536</v>
      </c>
      <c r="K367" s="17">
        <v>12535.1</v>
      </c>
      <c r="L367" s="17">
        <v>224596.32</v>
      </c>
      <c r="M367" s="38">
        <v>1122981.6000000001</v>
      </c>
      <c r="N367" s="52" t="s">
        <v>1537</v>
      </c>
      <c r="O367" s="39">
        <v>47727</v>
      </c>
      <c r="P367" s="158"/>
      <c r="Q367" s="158"/>
      <c r="R367" s="158"/>
      <c r="S367" s="158"/>
      <c r="T367" s="182"/>
      <c r="U367" s="158"/>
    </row>
    <row r="368" spans="1:21" customFormat="1" ht="21.75">
      <c r="A368" s="11" t="s">
        <v>339</v>
      </c>
      <c r="B368" s="36" t="s">
        <v>399</v>
      </c>
      <c r="C368" s="173" t="s">
        <v>1538</v>
      </c>
      <c r="D368" s="13" t="s">
        <v>499</v>
      </c>
      <c r="E368" s="14" t="s">
        <v>95</v>
      </c>
      <c r="F368" s="11" t="s">
        <v>1539</v>
      </c>
      <c r="G368" s="11" t="s">
        <v>1540</v>
      </c>
      <c r="H368" s="13">
        <v>2</v>
      </c>
      <c r="I368" s="11" t="s">
        <v>1541</v>
      </c>
      <c r="J368" s="46" t="s">
        <v>1542</v>
      </c>
      <c r="K368" s="17">
        <v>9074.74</v>
      </c>
      <c r="L368" s="17">
        <v>108896.88</v>
      </c>
      <c r="M368" s="17">
        <v>544484.4</v>
      </c>
      <c r="N368" s="24" t="s">
        <v>1543</v>
      </c>
      <c r="O368" s="25">
        <v>47770</v>
      </c>
      <c r="P368" s="158"/>
      <c r="Q368" s="158"/>
      <c r="R368" s="158"/>
      <c r="S368" s="158"/>
      <c r="T368" s="182"/>
      <c r="U368" s="158"/>
    </row>
    <row r="369" spans="1:21" customFormat="1" ht="21.75">
      <c r="A369" s="11" t="s">
        <v>339</v>
      </c>
      <c r="B369" s="36" t="s">
        <v>512</v>
      </c>
      <c r="C369" s="172" t="s">
        <v>1544</v>
      </c>
      <c r="D369" s="49" t="s">
        <v>514</v>
      </c>
      <c r="E369" s="48" t="s">
        <v>224</v>
      </c>
      <c r="F369" s="35" t="s">
        <v>1545</v>
      </c>
      <c r="G369" s="35" t="s">
        <v>1546</v>
      </c>
      <c r="H369" s="49">
        <v>1</v>
      </c>
      <c r="I369" s="35" t="s">
        <v>1547</v>
      </c>
      <c r="J369" s="11" t="s">
        <v>1548</v>
      </c>
      <c r="K369" s="44">
        <v>12245.7</v>
      </c>
      <c r="L369" s="44">
        <v>146948.40000000002</v>
      </c>
      <c r="M369" s="38">
        <v>734742</v>
      </c>
      <c r="N369" s="24" t="s">
        <v>1549</v>
      </c>
      <c r="O369" s="39">
        <v>47727</v>
      </c>
      <c r="P369" s="158"/>
      <c r="Q369" s="158"/>
      <c r="R369" s="158"/>
      <c r="S369" s="158"/>
      <c r="T369" s="182"/>
      <c r="U369" s="158"/>
    </row>
    <row r="370" spans="1:21" customFormat="1" ht="21.75">
      <c r="A370" s="11" t="s">
        <v>339</v>
      </c>
      <c r="B370" s="36" t="s">
        <v>512</v>
      </c>
      <c r="C370" s="173" t="s">
        <v>1550</v>
      </c>
      <c r="D370" s="13" t="s">
        <v>528</v>
      </c>
      <c r="E370" s="14" t="s">
        <v>224</v>
      </c>
      <c r="F370" s="11" t="s">
        <v>1551</v>
      </c>
      <c r="G370" s="11" t="s">
        <v>1546</v>
      </c>
      <c r="H370" s="13">
        <v>2</v>
      </c>
      <c r="I370" s="29" t="s">
        <v>1547</v>
      </c>
      <c r="J370" s="46" t="s">
        <v>1548</v>
      </c>
      <c r="K370" s="17">
        <v>24664.44</v>
      </c>
      <c r="L370" s="17">
        <v>295973.27999999997</v>
      </c>
      <c r="M370" s="38">
        <v>295973.27999999997</v>
      </c>
      <c r="N370" s="75" t="s">
        <v>1549</v>
      </c>
      <c r="O370" s="25">
        <v>47727</v>
      </c>
      <c r="P370" s="158"/>
      <c r="Q370" s="158"/>
      <c r="R370" s="158"/>
      <c r="S370" s="158"/>
      <c r="T370" s="182"/>
      <c r="U370" s="158"/>
    </row>
    <row r="371" spans="1:21" customFormat="1" ht="15">
      <c r="A371" s="11" t="s">
        <v>339</v>
      </c>
      <c r="B371" s="26" t="s">
        <v>340</v>
      </c>
      <c r="C371" s="173" t="s">
        <v>1552</v>
      </c>
      <c r="D371" s="27" t="s">
        <v>347</v>
      </c>
      <c r="E371" s="14" t="s">
        <v>95</v>
      </c>
      <c r="F371" s="11" t="s">
        <v>1553</v>
      </c>
      <c r="G371" s="11" t="s">
        <v>1540</v>
      </c>
      <c r="H371" s="13">
        <v>3</v>
      </c>
      <c r="I371" s="22" t="s">
        <v>1473</v>
      </c>
      <c r="J371" s="46" t="s">
        <v>1474</v>
      </c>
      <c r="K371" s="17">
        <v>14999.97</v>
      </c>
      <c r="L371" s="17">
        <v>179999.63999999998</v>
      </c>
      <c r="M371" s="17">
        <v>899998.2</v>
      </c>
      <c r="N371" s="24" t="s">
        <v>363</v>
      </c>
      <c r="O371" s="25">
        <v>47770</v>
      </c>
      <c r="P371" s="158"/>
      <c r="Q371" s="158"/>
      <c r="R371" s="158"/>
      <c r="S371" s="158"/>
      <c r="T371" s="182"/>
      <c r="U371" s="158"/>
    </row>
    <row r="372" spans="1:21" customFormat="1" ht="15">
      <c r="A372" s="11" t="s">
        <v>339</v>
      </c>
      <c r="B372" s="36" t="s">
        <v>608</v>
      </c>
      <c r="C372" s="173" t="s">
        <v>1554</v>
      </c>
      <c r="D372" s="27" t="s">
        <v>610</v>
      </c>
      <c r="E372" s="14" t="s">
        <v>95</v>
      </c>
      <c r="F372" s="11" t="s">
        <v>1555</v>
      </c>
      <c r="G372" s="11" t="s">
        <v>1556</v>
      </c>
      <c r="H372" s="27">
        <v>2</v>
      </c>
      <c r="I372" s="16" t="s">
        <v>1557</v>
      </c>
      <c r="J372" s="16" t="s">
        <v>904</v>
      </c>
      <c r="K372" s="59">
        <v>9536.9599999999991</v>
      </c>
      <c r="L372" s="17">
        <v>114443.51999999999</v>
      </c>
      <c r="M372" s="17">
        <v>572217.59999999998</v>
      </c>
      <c r="N372" s="78" t="s">
        <v>44</v>
      </c>
      <c r="O372" s="113">
        <v>47726</v>
      </c>
      <c r="P372" s="158"/>
      <c r="Q372" s="158"/>
      <c r="R372" s="158"/>
      <c r="S372" s="158"/>
      <c r="T372" s="182"/>
      <c r="U372" s="158"/>
    </row>
    <row r="373" spans="1:21" customFormat="1" ht="21.75">
      <c r="A373" s="11" t="s">
        <v>339</v>
      </c>
      <c r="B373" s="36" t="s">
        <v>608</v>
      </c>
      <c r="C373" s="173" t="s">
        <v>1558</v>
      </c>
      <c r="D373" s="13" t="s">
        <v>610</v>
      </c>
      <c r="E373" s="14" t="s">
        <v>224</v>
      </c>
      <c r="F373" s="11" t="s">
        <v>1559</v>
      </c>
      <c r="G373" s="11" t="s">
        <v>1501</v>
      </c>
      <c r="H373" s="13">
        <v>2</v>
      </c>
      <c r="I373" s="22" t="s">
        <v>1560</v>
      </c>
      <c r="J373" s="22" t="s">
        <v>1561</v>
      </c>
      <c r="K373" s="17">
        <v>18990.900000000001</v>
      </c>
      <c r="L373" s="17">
        <v>227890.80000000002</v>
      </c>
      <c r="M373" s="38">
        <v>1139454</v>
      </c>
      <c r="N373" s="24" t="s">
        <v>1562</v>
      </c>
      <c r="O373" s="25">
        <v>47695</v>
      </c>
      <c r="P373" s="158"/>
      <c r="Q373" s="158"/>
      <c r="R373" s="158"/>
      <c r="S373" s="158"/>
      <c r="T373" s="182"/>
      <c r="U373" s="158"/>
    </row>
    <row r="374" spans="1:21" customFormat="1" ht="15">
      <c r="A374" s="11" t="s">
        <v>681</v>
      </c>
      <c r="B374" s="36" t="s">
        <v>716</v>
      </c>
      <c r="C374" s="173" t="s">
        <v>1563</v>
      </c>
      <c r="D374" s="13" t="s">
        <v>718</v>
      </c>
      <c r="E374" s="27" t="s">
        <v>101</v>
      </c>
      <c r="F374" s="13" t="s">
        <v>1564</v>
      </c>
      <c r="G374" s="11" t="s">
        <v>1565</v>
      </c>
      <c r="H374" s="13">
        <v>0</v>
      </c>
      <c r="I374" s="115" t="s">
        <v>1566</v>
      </c>
      <c r="J374" s="74" t="s">
        <v>105</v>
      </c>
      <c r="K374" s="17">
        <v>2064.75</v>
      </c>
      <c r="L374" s="17">
        <v>154633.008</v>
      </c>
      <c r="M374" s="17">
        <v>773165.04</v>
      </c>
      <c r="N374" s="116" t="s">
        <v>44</v>
      </c>
      <c r="O374" s="21">
        <v>47706</v>
      </c>
      <c r="P374" s="158"/>
      <c r="Q374" s="158"/>
      <c r="R374" s="158"/>
      <c r="S374" s="158"/>
      <c r="T374" s="182"/>
      <c r="U374" s="158"/>
    </row>
    <row r="375" spans="1:21" customFormat="1" ht="15">
      <c r="A375" s="11" t="s">
        <v>681</v>
      </c>
      <c r="B375" s="36" t="s">
        <v>716</v>
      </c>
      <c r="C375" s="173" t="s">
        <v>1563</v>
      </c>
      <c r="D375" s="13" t="s">
        <v>869</v>
      </c>
      <c r="E375" s="27" t="s">
        <v>101</v>
      </c>
      <c r="F375" s="13" t="s">
        <v>1564</v>
      </c>
      <c r="G375" s="11" t="s">
        <v>1565</v>
      </c>
      <c r="H375" s="13">
        <v>0</v>
      </c>
      <c r="I375" s="115" t="s">
        <v>1566</v>
      </c>
      <c r="J375" s="74" t="s">
        <v>105</v>
      </c>
      <c r="K375" s="17">
        <v>2770.8333333333335</v>
      </c>
      <c r="L375" s="17">
        <v>154633.008</v>
      </c>
      <c r="M375" s="17">
        <v>773165.04</v>
      </c>
      <c r="N375" s="116" t="s">
        <v>44</v>
      </c>
      <c r="O375" s="21">
        <v>47706</v>
      </c>
      <c r="P375" s="158"/>
      <c r="Q375" s="158"/>
      <c r="R375" s="158"/>
      <c r="S375" s="158"/>
      <c r="T375" s="182"/>
      <c r="U375" s="158"/>
    </row>
    <row r="376" spans="1:21" customFormat="1" ht="15">
      <c r="A376" s="11" t="s">
        <v>681</v>
      </c>
      <c r="B376" s="36" t="s">
        <v>716</v>
      </c>
      <c r="C376" s="173" t="s">
        <v>1563</v>
      </c>
      <c r="D376" s="13" t="s">
        <v>740</v>
      </c>
      <c r="E376" s="27" t="s">
        <v>101</v>
      </c>
      <c r="F376" s="13" t="s">
        <v>1564</v>
      </c>
      <c r="G376" s="11" t="s">
        <v>1565</v>
      </c>
      <c r="H376" s="13">
        <v>0</v>
      </c>
      <c r="I376" s="115" t="s">
        <v>1566</v>
      </c>
      <c r="J376" s="74" t="s">
        <v>105</v>
      </c>
      <c r="K376" s="17">
        <v>8050.5</v>
      </c>
      <c r="L376" s="17">
        <v>154633.008</v>
      </c>
      <c r="M376" s="17">
        <v>773165.04</v>
      </c>
      <c r="N376" s="116" t="s">
        <v>44</v>
      </c>
      <c r="O376" s="21">
        <v>47706</v>
      </c>
      <c r="P376" s="158"/>
      <c r="Q376" s="158"/>
      <c r="R376" s="158"/>
      <c r="S376" s="158"/>
      <c r="T376" s="182"/>
      <c r="U376" s="158"/>
    </row>
    <row r="377" spans="1:21" customFormat="1" ht="63.75">
      <c r="A377" s="11" t="s">
        <v>681</v>
      </c>
      <c r="B377" s="36" t="s">
        <v>691</v>
      </c>
      <c r="C377" s="173" t="s">
        <v>1567</v>
      </c>
      <c r="D377" s="13" t="s">
        <v>1568</v>
      </c>
      <c r="E377" s="14" t="s">
        <v>224</v>
      </c>
      <c r="F377" s="11" t="s">
        <v>1569</v>
      </c>
      <c r="G377" s="11" t="s">
        <v>1570</v>
      </c>
      <c r="H377" s="13">
        <v>6</v>
      </c>
      <c r="I377" s="16" t="s">
        <v>1571</v>
      </c>
      <c r="J377" s="11" t="s">
        <v>1572</v>
      </c>
      <c r="K377" s="17">
        <v>66356.14</v>
      </c>
      <c r="L377" s="17">
        <v>796273.67999999993</v>
      </c>
      <c r="M377" s="17">
        <v>3981368.4</v>
      </c>
      <c r="N377" s="52" t="s">
        <v>44</v>
      </c>
      <c r="O377" s="60">
        <v>47678</v>
      </c>
      <c r="P377" s="158"/>
      <c r="Q377" s="158"/>
      <c r="R377" s="158"/>
      <c r="S377" s="158"/>
      <c r="T377" s="182"/>
      <c r="U377" s="158"/>
    </row>
    <row r="378" spans="1:21" customFormat="1" ht="15">
      <c r="A378" s="11" t="s">
        <v>681</v>
      </c>
      <c r="B378" s="36" t="s">
        <v>716</v>
      </c>
      <c r="C378" s="173" t="s">
        <v>1573</v>
      </c>
      <c r="D378" s="13" t="s">
        <v>1574</v>
      </c>
      <c r="E378" s="45" t="s">
        <v>1575</v>
      </c>
      <c r="F378" s="11" t="s">
        <v>1576</v>
      </c>
      <c r="G378" s="11" t="s">
        <v>1577</v>
      </c>
      <c r="H378" s="13">
        <v>1</v>
      </c>
      <c r="I378" s="106" t="s">
        <v>1578</v>
      </c>
      <c r="J378" s="23" t="s">
        <v>1579</v>
      </c>
      <c r="K378" s="17">
        <v>13999.86</v>
      </c>
      <c r="L378" s="17">
        <v>167998.32</v>
      </c>
      <c r="M378" s="17">
        <v>839991.60000000009</v>
      </c>
      <c r="N378" s="24" t="s">
        <v>44</v>
      </c>
      <c r="O378" s="25">
        <v>47677</v>
      </c>
      <c r="P378" s="158"/>
      <c r="Q378" s="158"/>
      <c r="R378" s="158"/>
      <c r="S378" s="158"/>
      <c r="T378" s="182"/>
      <c r="U378" s="158"/>
    </row>
    <row r="379" spans="1:21" customFormat="1" ht="15">
      <c r="A379" s="11" t="s">
        <v>681</v>
      </c>
      <c r="B379" s="36" t="s">
        <v>716</v>
      </c>
      <c r="C379" s="173" t="s">
        <v>1580</v>
      </c>
      <c r="D379" s="13" t="s">
        <v>740</v>
      </c>
      <c r="E379" s="45" t="s">
        <v>1575</v>
      </c>
      <c r="F379" s="11" t="s">
        <v>1581</v>
      </c>
      <c r="G379" s="11" t="s">
        <v>1577</v>
      </c>
      <c r="H379" s="13">
        <v>1</v>
      </c>
      <c r="I379" s="106" t="s">
        <v>1578</v>
      </c>
      <c r="J379" s="23" t="s">
        <v>1579</v>
      </c>
      <c r="K379" s="17">
        <v>13865.66</v>
      </c>
      <c r="L379" s="17">
        <v>166387.91999999998</v>
      </c>
      <c r="M379" s="17">
        <v>831939.6</v>
      </c>
      <c r="N379" s="24" t="s">
        <v>44</v>
      </c>
      <c r="O379" s="25">
        <v>47677</v>
      </c>
      <c r="P379" s="158"/>
      <c r="Q379" s="158"/>
      <c r="R379" s="158"/>
      <c r="S379" s="158"/>
      <c r="T379" s="182"/>
      <c r="U379" s="158"/>
    </row>
    <row r="380" spans="1:21" customFormat="1" ht="15">
      <c r="A380" s="11" t="s">
        <v>681</v>
      </c>
      <c r="B380" s="36" t="s">
        <v>716</v>
      </c>
      <c r="C380" s="173" t="s">
        <v>1582</v>
      </c>
      <c r="D380" s="13" t="s">
        <v>780</v>
      </c>
      <c r="E380" s="45" t="s">
        <v>1575</v>
      </c>
      <c r="F380" s="11" t="s">
        <v>1583</v>
      </c>
      <c r="G380" s="11" t="s">
        <v>1577</v>
      </c>
      <c r="H380" s="13">
        <v>1</v>
      </c>
      <c r="I380" s="106" t="s">
        <v>1578</v>
      </c>
      <c r="J380" s="23" t="s">
        <v>1579</v>
      </c>
      <c r="K380" s="17">
        <v>13999.98</v>
      </c>
      <c r="L380" s="17">
        <v>167999.76</v>
      </c>
      <c r="M380" s="17">
        <v>839998.79999999993</v>
      </c>
      <c r="N380" s="24" t="s">
        <v>44</v>
      </c>
      <c r="O380" s="25">
        <v>47677</v>
      </c>
      <c r="P380" s="158"/>
      <c r="Q380" s="158"/>
      <c r="R380" s="158"/>
      <c r="S380" s="158"/>
      <c r="T380" s="182"/>
      <c r="U380" s="158"/>
    </row>
    <row r="381" spans="1:21" customFormat="1" ht="15">
      <c r="A381" s="11" t="s">
        <v>681</v>
      </c>
      <c r="B381" s="36" t="s">
        <v>682</v>
      </c>
      <c r="C381" s="173" t="s">
        <v>1584</v>
      </c>
      <c r="D381" s="13" t="s">
        <v>690</v>
      </c>
      <c r="E381" s="14" t="s">
        <v>1585</v>
      </c>
      <c r="F381" s="11" t="s">
        <v>1586</v>
      </c>
      <c r="G381" s="11" t="s">
        <v>1587</v>
      </c>
      <c r="H381" s="13">
        <v>0</v>
      </c>
      <c r="I381" s="22" t="s">
        <v>1588</v>
      </c>
      <c r="J381" s="23" t="s">
        <v>1589</v>
      </c>
      <c r="K381" s="17">
        <v>5833.3333333333303</v>
      </c>
      <c r="L381" s="17">
        <v>34999.999999999985</v>
      </c>
      <c r="M381" s="38">
        <v>34999.999999999985</v>
      </c>
      <c r="N381" s="120" t="s">
        <v>1590</v>
      </c>
      <c r="O381" s="25">
        <v>46024</v>
      </c>
      <c r="P381" s="158"/>
      <c r="Q381" s="158"/>
      <c r="R381" s="158"/>
      <c r="S381" s="158"/>
      <c r="T381" s="182"/>
      <c r="U381" s="158"/>
    </row>
    <row r="382" spans="1:21" customFormat="1" ht="15">
      <c r="A382" s="11" t="s">
        <v>681</v>
      </c>
      <c r="B382" s="36" t="s">
        <v>716</v>
      </c>
      <c r="C382" s="173" t="s">
        <v>1591</v>
      </c>
      <c r="D382" s="27" t="s">
        <v>817</v>
      </c>
      <c r="E382" s="45" t="s">
        <v>1575</v>
      </c>
      <c r="F382" s="11" t="s">
        <v>1592</v>
      </c>
      <c r="G382" s="11" t="s">
        <v>1577</v>
      </c>
      <c r="H382" s="13">
        <v>1</v>
      </c>
      <c r="I382" s="106" t="s">
        <v>1578</v>
      </c>
      <c r="J382" s="23" t="s">
        <v>1579</v>
      </c>
      <c r="K382" s="17">
        <v>13590.3</v>
      </c>
      <c r="L382" s="17">
        <v>163083.59999999998</v>
      </c>
      <c r="M382" s="17">
        <v>815418</v>
      </c>
      <c r="N382" s="24" t="s">
        <v>44</v>
      </c>
      <c r="O382" s="25">
        <v>47677</v>
      </c>
      <c r="P382" s="158"/>
      <c r="Q382" s="158"/>
      <c r="R382" s="158"/>
      <c r="S382" s="158"/>
      <c r="T382" s="182"/>
      <c r="U382" s="158"/>
    </row>
    <row r="383" spans="1:21" customFormat="1" ht="15">
      <c r="A383" s="11" t="s">
        <v>681</v>
      </c>
      <c r="B383" s="26" t="s">
        <v>716</v>
      </c>
      <c r="C383" s="173" t="s">
        <v>1593</v>
      </c>
      <c r="D383" s="13" t="s">
        <v>869</v>
      </c>
      <c r="E383" s="45" t="s">
        <v>1575</v>
      </c>
      <c r="F383" s="11" t="s">
        <v>1594</v>
      </c>
      <c r="G383" s="11" t="s">
        <v>1577</v>
      </c>
      <c r="H383" s="13">
        <v>1</v>
      </c>
      <c r="I383" s="106" t="s">
        <v>1578</v>
      </c>
      <c r="J383" s="23" t="s">
        <v>1579</v>
      </c>
      <c r="K383" s="17">
        <v>13999.72</v>
      </c>
      <c r="L383" s="17">
        <v>167996.63999999998</v>
      </c>
      <c r="M383" s="17">
        <v>839983.2</v>
      </c>
      <c r="N383" s="24" t="s">
        <v>44</v>
      </c>
      <c r="O383" s="25">
        <v>47677</v>
      </c>
      <c r="P383" s="158"/>
      <c r="Q383" s="158"/>
      <c r="R383" s="158"/>
      <c r="S383" s="158"/>
      <c r="T383" s="182"/>
      <c r="U383" s="158"/>
    </row>
    <row r="384" spans="1:21" customFormat="1" ht="15">
      <c r="A384" s="131" t="s">
        <v>890</v>
      </c>
      <c r="B384" s="132" t="s">
        <v>905</v>
      </c>
      <c r="C384" s="180" t="s">
        <v>1595</v>
      </c>
      <c r="D384" s="133" t="s">
        <v>918</v>
      </c>
      <c r="E384" s="133" t="s">
        <v>95</v>
      </c>
      <c r="F384" s="131" t="s">
        <v>1596</v>
      </c>
      <c r="G384" s="131" t="s">
        <v>1597</v>
      </c>
      <c r="H384" s="13">
        <v>4</v>
      </c>
      <c r="I384" s="69" t="s">
        <v>1598</v>
      </c>
      <c r="J384" s="134" t="s">
        <v>1599</v>
      </c>
      <c r="K384" s="17">
        <v>18281.12</v>
      </c>
      <c r="L384" s="17">
        <v>219373.44</v>
      </c>
      <c r="M384" s="17">
        <v>548433.6</v>
      </c>
      <c r="N384" s="47" t="s">
        <v>363</v>
      </c>
      <c r="O384" s="39">
        <v>47762</v>
      </c>
      <c r="P384" s="158"/>
      <c r="Q384" s="158"/>
      <c r="R384" s="158"/>
      <c r="S384" s="158"/>
      <c r="T384" s="182"/>
      <c r="U384" s="158"/>
    </row>
    <row r="385" spans="1:21" customFormat="1" ht="15">
      <c r="A385" s="11" t="s">
        <v>890</v>
      </c>
      <c r="B385" s="36" t="s">
        <v>912</v>
      </c>
      <c r="C385" s="173" t="s">
        <v>1600</v>
      </c>
      <c r="D385" s="13" t="s">
        <v>1601</v>
      </c>
      <c r="E385" s="14" t="s">
        <v>95</v>
      </c>
      <c r="F385" s="11" t="s">
        <v>944</v>
      </c>
      <c r="G385" s="11" t="s">
        <v>1602</v>
      </c>
      <c r="H385" s="96">
        <v>1</v>
      </c>
      <c r="I385" s="29" t="s">
        <v>1603</v>
      </c>
      <c r="J385" s="23" t="s">
        <v>1604</v>
      </c>
      <c r="K385" s="17">
        <v>6204.01</v>
      </c>
      <c r="L385" s="17">
        <v>74448.12</v>
      </c>
      <c r="M385" s="127">
        <v>186120.30000000002</v>
      </c>
      <c r="N385" s="128" t="s">
        <v>1342</v>
      </c>
      <c r="O385" s="129">
        <v>46686</v>
      </c>
      <c r="P385" s="158"/>
      <c r="Q385" s="158"/>
      <c r="R385" s="158"/>
      <c r="S385" s="158"/>
      <c r="T385" s="182"/>
      <c r="U385" s="158"/>
    </row>
    <row r="386" spans="1:21" customFormat="1" ht="15">
      <c r="A386" s="11" t="s">
        <v>890</v>
      </c>
      <c r="B386" s="36" t="s">
        <v>891</v>
      </c>
      <c r="C386" s="11" t="s">
        <v>1605</v>
      </c>
      <c r="D386" s="13" t="s">
        <v>1606</v>
      </c>
      <c r="E386" s="14" t="s">
        <v>1607</v>
      </c>
      <c r="F386" s="11" t="s">
        <v>1608</v>
      </c>
      <c r="G386" s="11" t="s">
        <v>41</v>
      </c>
      <c r="H386" s="13">
        <v>0</v>
      </c>
      <c r="I386" s="22" t="s">
        <v>1609</v>
      </c>
      <c r="J386" s="23" t="s">
        <v>984</v>
      </c>
      <c r="K386" s="17">
        <v>26148.78</v>
      </c>
      <c r="L386" s="17">
        <v>313785.36</v>
      </c>
      <c r="M386" s="38">
        <v>1568926.7999999998</v>
      </c>
      <c r="N386" s="24" t="s">
        <v>44</v>
      </c>
      <c r="O386" s="25">
        <v>47617</v>
      </c>
      <c r="P386" s="158"/>
      <c r="Q386" s="158"/>
      <c r="R386" s="158"/>
      <c r="S386" s="158"/>
      <c r="T386" s="182"/>
      <c r="U386" s="158"/>
    </row>
    <row r="387" spans="1:21" customFormat="1" ht="15">
      <c r="A387" s="11" t="s">
        <v>890</v>
      </c>
      <c r="B387" s="36" t="s">
        <v>912</v>
      </c>
      <c r="C387" s="173" t="s">
        <v>1610</v>
      </c>
      <c r="D387" s="13" t="s">
        <v>1611</v>
      </c>
      <c r="E387" s="45" t="s">
        <v>394</v>
      </c>
      <c r="F387" s="11" t="s">
        <v>1612</v>
      </c>
      <c r="G387" s="11" t="s">
        <v>1613</v>
      </c>
      <c r="H387" s="13">
        <v>0</v>
      </c>
      <c r="I387" s="15" t="s">
        <v>1614</v>
      </c>
      <c r="J387" s="63" t="s">
        <v>1615</v>
      </c>
      <c r="K387" s="17">
        <v>946.67</v>
      </c>
      <c r="L387" s="17">
        <v>11360.039999999999</v>
      </c>
      <c r="M387" s="38">
        <v>56800.2</v>
      </c>
      <c r="N387" s="47" t="s">
        <v>44</v>
      </c>
      <c r="O387" s="25">
        <v>47666</v>
      </c>
      <c r="P387" s="158"/>
      <c r="Q387" s="158"/>
      <c r="R387" s="158"/>
      <c r="S387" s="158"/>
      <c r="T387" s="182"/>
      <c r="U387" s="158"/>
    </row>
    <row r="388" spans="1:21" customFormat="1" ht="32.25">
      <c r="A388" s="22" t="s">
        <v>1616</v>
      </c>
      <c r="B388" s="12" t="s">
        <v>1617</v>
      </c>
      <c r="C388" s="173" t="s">
        <v>1618</v>
      </c>
      <c r="D388" s="13" t="s">
        <v>1151</v>
      </c>
      <c r="E388" s="45" t="s">
        <v>19</v>
      </c>
      <c r="F388" s="11" t="s">
        <v>1619</v>
      </c>
      <c r="G388" s="11" t="s">
        <v>1620</v>
      </c>
      <c r="H388" s="13">
        <v>0</v>
      </c>
      <c r="I388" s="15" t="s">
        <v>160</v>
      </c>
      <c r="J388" s="15" t="s">
        <v>161</v>
      </c>
      <c r="K388" s="181">
        <v>8833.34</v>
      </c>
      <c r="L388" s="17">
        <v>899329.67999999993</v>
      </c>
      <c r="M388" s="38">
        <v>4496648.4000000004</v>
      </c>
      <c r="N388" s="47" t="s">
        <v>44</v>
      </c>
      <c r="O388" s="25">
        <v>47649</v>
      </c>
      <c r="P388" s="158"/>
      <c r="Q388" s="158"/>
      <c r="R388" s="158"/>
      <c r="S388" s="158"/>
      <c r="T388" s="182"/>
      <c r="U388" s="158"/>
    </row>
    <row r="389" spans="1:21" customFormat="1" ht="32.25">
      <c r="A389" s="22" t="s">
        <v>1616</v>
      </c>
      <c r="B389" s="12" t="s">
        <v>1617</v>
      </c>
      <c r="C389" s="173" t="s">
        <v>1618</v>
      </c>
      <c r="D389" s="13" t="s">
        <v>1019</v>
      </c>
      <c r="E389" s="45" t="s">
        <v>19</v>
      </c>
      <c r="F389" s="11" t="s">
        <v>1619</v>
      </c>
      <c r="G389" s="11" t="s">
        <v>1620</v>
      </c>
      <c r="H389" s="13">
        <v>0</v>
      </c>
      <c r="I389" s="15" t="s">
        <v>160</v>
      </c>
      <c r="J389" s="15" t="s">
        <v>161</v>
      </c>
      <c r="K389" s="181">
        <v>8900</v>
      </c>
      <c r="L389" s="17">
        <v>899329.67999999993</v>
      </c>
      <c r="M389" s="38">
        <v>4496648.4000000004</v>
      </c>
      <c r="N389" s="47" t="s">
        <v>44</v>
      </c>
      <c r="O389" s="25">
        <v>47649</v>
      </c>
      <c r="P389" s="158"/>
      <c r="Q389" s="158"/>
      <c r="R389" s="158"/>
      <c r="S389" s="158"/>
      <c r="T389" s="182"/>
      <c r="U389" s="158"/>
    </row>
    <row r="390" spans="1:21" customFormat="1" ht="32.25">
      <c r="A390" s="22" t="s">
        <v>1616</v>
      </c>
      <c r="B390" s="12" t="s">
        <v>1617</v>
      </c>
      <c r="C390" s="173" t="s">
        <v>1618</v>
      </c>
      <c r="D390" s="13" t="s">
        <v>1621</v>
      </c>
      <c r="E390" s="45" t="s">
        <v>19</v>
      </c>
      <c r="F390" s="11" t="s">
        <v>1619</v>
      </c>
      <c r="G390" s="11" t="s">
        <v>1620</v>
      </c>
      <c r="H390" s="13">
        <v>0</v>
      </c>
      <c r="I390" s="15" t="s">
        <v>160</v>
      </c>
      <c r="J390" s="15" t="s">
        <v>161</v>
      </c>
      <c r="K390" s="181">
        <v>8900</v>
      </c>
      <c r="L390" s="17">
        <v>899329.67999999993</v>
      </c>
      <c r="M390" s="38">
        <v>4496648.4000000004</v>
      </c>
      <c r="N390" s="47" t="s">
        <v>44</v>
      </c>
      <c r="O390" s="25">
        <v>47649</v>
      </c>
      <c r="P390" s="158"/>
      <c r="Q390" s="158"/>
      <c r="R390" s="158"/>
      <c r="S390" s="158"/>
      <c r="T390" s="182"/>
      <c r="U390" s="158"/>
    </row>
    <row r="391" spans="1:21" customFormat="1" ht="32.25">
      <c r="A391" s="22" t="s">
        <v>1616</v>
      </c>
      <c r="B391" s="12" t="s">
        <v>1617</v>
      </c>
      <c r="C391" s="173" t="s">
        <v>1618</v>
      </c>
      <c r="D391" s="13" t="s">
        <v>1163</v>
      </c>
      <c r="E391" s="45" t="s">
        <v>19</v>
      </c>
      <c r="F391" s="11" t="s">
        <v>1619</v>
      </c>
      <c r="G391" s="11" t="s">
        <v>1620</v>
      </c>
      <c r="H391" s="13">
        <v>0</v>
      </c>
      <c r="I391" s="15" t="s">
        <v>160</v>
      </c>
      <c r="J391" s="15" t="s">
        <v>161</v>
      </c>
      <c r="K391" s="181">
        <v>8500</v>
      </c>
      <c r="L391" s="17">
        <v>899329.67999999993</v>
      </c>
      <c r="M391" s="38">
        <v>4496648.4000000004</v>
      </c>
      <c r="N391" s="47" t="s">
        <v>44</v>
      </c>
      <c r="O391" s="25">
        <v>47649</v>
      </c>
      <c r="P391" s="158"/>
      <c r="Q391" s="158"/>
      <c r="R391" s="158"/>
      <c r="S391" s="158"/>
      <c r="T391" s="182"/>
      <c r="U391" s="158"/>
    </row>
    <row r="392" spans="1:21" customFormat="1" ht="32.25">
      <c r="A392" s="22" t="s">
        <v>1616</v>
      </c>
      <c r="B392" s="12" t="s">
        <v>1617</v>
      </c>
      <c r="C392" s="173" t="s">
        <v>1618</v>
      </c>
      <c r="D392" s="13" t="s">
        <v>740</v>
      </c>
      <c r="E392" s="45" t="s">
        <v>19</v>
      </c>
      <c r="F392" s="11" t="s">
        <v>1619</v>
      </c>
      <c r="G392" s="11" t="s">
        <v>1620</v>
      </c>
      <c r="H392" s="13">
        <v>0</v>
      </c>
      <c r="I392" s="15" t="s">
        <v>160</v>
      </c>
      <c r="J392" s="15" t="s">
        <v>161</v>
      </c>
      <c r="K392" s="181">
        <v>10050</v>
      </c>
      <c r="L392" s="17">
        <v>899329.67999999993</v>
      </c>
      <c r="M392" s="38">
        <v>4496648.4000000004</v>
      </c>
      <c r="N392" s="47" t="s">
        <v>44</v>
      </c>
      <c r="O392" s="25">
        <v>47649</v>
      </c>
      <c r="P392" s="158"/>
      <c r="Q392" s="158"/>
      <c r="R392" s="158"/>
      <c r="S392" s="158"/>
      <c r="T392" s="182"/>
      <c r="U392" s="158"/>
    </row>
    <row r="393" spans="1:21" customFormat="1" ht="32.25">
      <c r="A393" s="22" t="s">
        <v>1616</v>
      </c>
      <c r="B393" s="12" t="s">
        <v>1617</v>
      </c>
      <c r="C393" s="173" t="s">
        <v>1618</v>
      </c>
      <c r="D393" s="13" t="s">
        <v>718</v>
      </c>
      <c r="E393" s="45" t="s">
        <v>19</v>
      </c>
      <c r="F393" s="11" t="s">
        <v>1619</v>
      </c>
      <c r="G393" s="11" t="s">
        <v>1620</v>
      </c>
      <c r="H393" s="13">
        <v>0</v>
      </c>
      <c r="I393" s="15" t="s">
        <v>160</v>
      </c>
      <c r="J393" s="15" t="s">
        <v>161</v>
      </c>
      <c r="K393" s="181">
        <v>10333.34</v>
      </c>
      <c r="L393" s="17">
        <v>899329.67999999993</v>
      </c>
      <c r="M393" s="38">
        <v>4496648.4000000004</v>
      </c>
      <c r="N393" s="47" t="s">
        <v>44</v>
      </c>
      <c r="O393" s="25">
        <v>47649</v>
      </c>
      <c r="P393" s="158"/>
      <c r="Q393" s="158"/>
      <c r="R393" s="158"/>
      <c r="S393" s="158"/>
      <c r="T393" s="182"/>
      <c r="U393" s="158"/>
    </row>
    <row r="394" spans="1:21" customFormat="1" ht="32.25">
      <c r="A394" s="22" t="s">
        <v>1616</v>
      </c>
      <c r="B394" s="12" t="s">
        <v>1617</v>
      </c>
      <c r="C394" s="173" t="s">
        <v>1618</v>
      </c>
      <c r="D394" s="13" t="s">
        <v>844</v>
      </c>
      <c r="E394" s="45" t="s">
        <v>19</v>
      </c>
      <c r="F394" s="11" t="s">
        <v>1619</v>
      </c>
      <c r="G394" s="11" t="s">
        <v>1620</v>
      </c>
      <c r="H394" s="13">
        <v>0</v>
      </c>
      <c r="I394" s="15" t="s">
        <v>160</v>
      </c>
      <c r="J394" s="15" t="s">
        <v>161</v>
      </c>
      <c r="K394" s="181">
        <v>10866.67</v>
      </c>
      <c r="L394" s="17">
        <v>899329.67999999993</v>
      </c>
      <c r="M394" s="38">
        <v>4496648.4000000004</v>
      </c>
      <c r="N394" s="47" t="s">
        <v>44</v>
      </c>
      <c r="O394" s="25">
        <v>47649</v>
      </c>
      <c r="P394" s="158"/>
      <c r="Q394" s="158"/>
      <c r="R394" s="158"/>
      <c r="S394" s="158"/>
      <c r="T394" s="182"/>
      <c r="U394" s="158"/>
    </row>
    <row r="395" spans="1:21" customFormat="1" ht="32.25">
      <c r="A395" s="22" t="s">
        <v>1616</v>
      </c>
      <c r="B395" s="12" t="s">
        <v>1617</v>
      </c>
      <c r="C395" s="173" t="s">
        <v>1618</v>
      </c>
      <c r="D395" s="13" t="s">
        <v>709</v>
      </c>
      <c r="E395" s="45" t="s">
        <v>19</v>
      </c>
      <c r="F395" s="11" t="s">
        <v>1619</v>
      </c>
      <c r="G395" s="11" t="s">
        <v>1620</v>
      </c>
      <c r="H395" s="13">
        <v>0</v>
      </c>
      <c r="I395" s="15" t="s">
        <v>160</v>
      </c>
      <c r="J395" s="15" t="s">
        <v>161</v>
      </c>
      <c r="K395" s="181">
        <v>10133.34</v>
      </c>
      <c r="L395" s="17">
        <v>899329.67999999993</v>
      </c>
      <c r="M395" s="38">
        <v>4496648.4000000004</v>
      </c>
      <c r="N395" s="47" t="s">
        <v>44</v>
      </c>
      <c r="O395" s="25">
        <v>47649</v>
      </c>
      <c r="P395" s="158"/>
      <c r="Q395" s="158"/>
      <c r="R395" s="158"/>
      <c r="S395" s="158"/>
      <c r="T395" s="182"/>
      <c r="U395" s="158"/>
    </row>
    <row r="396" spans="1:21" customFormat="1" ht="21.75">
      <c r="A396" s="11" t="s">
        <v>890</v>
      </c>
      <c r="B396" s="142" t="s">
        <v>1622</v>
      </c>
      <c r="C396" s="173" t="s">
        <v>1623</v>
      </c>
      <c r="D396" s="13" t="s">
        <v>1075</v>
      </c>
      <c r="E396" s="14" t="s">
        <v>101</v>
      </c>
      <c r="F396" s="11" t="s">
        <v>1624</v>
      </c>
      <c r="G396" s="11" t="s">
        <v>1488</v>
      </c>
      <c r="H396" s="13">
        <v>0</v>
      </c>
      <c r="I396" s="106" t="s">
        <v>1445</v>
      </c>
      <c r="J396" s="23" t="s">
        <v>1446</v>
      </c>
      <c r="K396" s="181">
        <f>88785/12</f>
        <v>7398.75</v>
      </c>
      <c r="L396" s="17">
        <v>88785</v>
      </c>
      <c r="M396" s="38">
        <v>443925</v>
      </c>
      <c r="N396" s="24" t="s">
        <v>44</v>
      </c>
      <c r="O396" s="25">
        <v>47726</v>
      </c>
      <c r="P396" s="158"/>
      <c r="Q396" s="158"/>
      <c r="R396" s="158"/>
      <c r="S396" s="158"/>
      <c r="T396" s="182"/>
      <c r="U396" s="158"/>
    </row>
    <row r="397" spans="1:21" customFormat="1" ht="21.75">
      <c r="A397" s="11" t="s">
        <v>890</v>
      </c>
      <c r="B397" s="142" t="s">
        <v>1622</v>
      </c>
      <c r="C397" s="173" t="s">
        <v>1623</v>
      </c>
      <c r="D397" s="13" t="s">
        <v>1043</v>
      </c>
      <c r="E397" s="14" t="s">
        <v>101</v>
      </c>
      <c r="F397" s="11" t="s">
        <v>1624</v>
      </c>
      <c r="G397" s="11" t="s">
        <v>1488</v>
      </c>
      <c r="H397" s="13">
        <v>0</v>
      </c>
      <c r="I397" s="106" t="s">
        <v>1445</v>
      </c>
      <c r="J397" s="23" t="s">
        <v>1446</v>
      </c>
      <c r="K397" s="181">
        <f>16610/12</f>
        <v>1384.1666666666667</v>
      </c>
      <c r="L397" s="17">
        <v>88785</v>
      </c>
      <c r="M397" s="38">
        <v>443925</v>
      </c>
      <c r="N397" s="24" t="s">
        <v>44</v>
      </c>
      <c r="O397" s="25">
        <v>47726</v>
      </c>
      <c r="P397" s="158"/>
      <c r="Q397" s="158"/>
      <c r="R397" s="158"/>
      <c r="S397" s="158"/>
      <c r="T397" s="182"/>
      <c r="U397" s="158"/>
    </row>
    <row r="398" spans="1:21" customFormat="1" ht="21.75">
      <c r="A398" s="11" t="s">
        <v>890</v>
      </c>
      <c r="B398" s="142" t="s">
        <v>1622</v>
      </c>
      <c r="C398" s="173" t="s">
        <v>1623</v>
      </c>
      <c r="D398" s="13" t="s">
        <v>1204</v>
      </c>
      <c r="E398" s="14" t="s">
        <v>101</v>
      </c>
      <c r="F398" s="11" t="s">
        <v>1624</v>
      </c>
      <c r="G398" s="11" t="s">
        <v>1488</v>
      </c>
      <c r="H398" s="13">
        <v>0</v>
      </c>
      <c r="I398" s="106" t="s">
        <v>1445</v>
      </c>
      <c r="J398" s="23" t="s">
        <v>1446</v>
      </c>
      <c r="K398" s="181">
        <f>48110/12</f>
        <v>4009.1666666666665</v>
      </c>
      <c r="L398" s="17">
        <v>88785</v>
      </c>
      <c r="M398" s="38">
        <v>443925</v>
      </c>
      <c r="N398" s="24" t="s">
        <v>44</v>
      </c>
      <c r="O398" s="25">
        <v>47726</v>
      </c>
      <c r="P398" s="158"/>
      <c r="Q398" s="158"/>
      <c r="R398" s="158"/>
      <c r="S398" s="158"/>
      <c r="T398" s="182"/>
      <c r="U398" s="158"/>
    </row>
    <row r="399" spans="1:21" customFormat="1" ht="96">
      <c r="A399" s="11" t="s">
        <v>1222</v>
      </c>
      <c r="B399" s="36" t="s">
        <v>1223</v>
      </c>
      <c r="C399" s="173" t="s">
        <v>1625</v>
      </c>
      <c r="D399" s="144" t="s">
        <v>1222</v>
      </c>
      <c r="E399" s="23" t="s">
        <v>1626</v>
      </c>
      <c r="F399" s="11" t="s">
        <v>1627</v>
      </c>
      <c r="G399" s="22" t="s">
        <v>1370</v>
      </c>
      <c r="H399" s="13">
        <v>0</v>
      </c>
      <c r="I399" s="29" t="s">
        <v>1628</v>
      </c>
      <c r="J399" s="46" t="s">
        <v>1629</v>
      </c>
      <c r="K399" s="17">
        <v>0</v>
      </c>
      <c r="L399" s="17">
        <v>0</v>
      </c>
      <c r="M399" s="38">
        <v>0</v>
      </c>
      <c r="N399" s="47" t="s">
        <v>44</v>
      </c>
      <c r="O399" s="25">
        <v>47715</v>
      </c>
      <c r="P399" s="158"/>
      <c r="Q399" s="158"/>
      <c r="R399" s="158"/>
      <c r="S399" s="158"/>
      <c r="T399" s="182"/>
      <c r="U399" s="158"/>
    </row>
    <row r="400" spans="1:21" customFormat="1" ht="21.75">
      <c r="A400" s="11" t="s">
        <v>1222</v>
      </c>
      <c r="B400" s="36" t="s">
        <v>1223</v>
      </c>
      <c r="C400" s="173" t="s">
        <v>1630</v>
      </c>
      <c r="D400" s="144" t="s">
        <v>1222</v>
      </c>
      <c r="E400" s="14" t="s">
        <v>1631</v>
      </c>
      <c r="F400" s="11" t="s">
        <v>1632</v>
      </c>
      <c r="G400" s="11" t="s">
        <v>1633</v>
      </c>
      <c r="H400" s="13">
        <v>0</v>
      </c>
      <c r="I400" s="29" t="s">
        <v>1634</v>
      </c>
      <c r="J400" s="46" t="s">
        <v>1635</v>
      </c>
      <c r="K400" s="17">
        <v>693</v>
      </c>
      <c r="L400" s="17">
        <v>8316</v>
      </c>
      <c r="M400" s="38">
        <v>8316</v>
      </c>
      <c r="N400" s="47" t="s">
        <v>36</v>
      </c>
      <c r="O400" s="25">
        <v>46212</v>
      </c>
      <c r="P400" s="158"/>
      <c r="Q400" s="158"/>
      <c r="R400" s="158"/>
      <c r="S400" s="158"/>
      <c r="T400" s="182"/>
      <c r="U400" s="158"/>
    </row>
    <row r="401" spans="1:21" customFormat="1" ht="42.75">
      <c r="A401" s="11" t="s">
        <v>1222</v>
      </c>
      <c r="B401" s="36" t="s">
        <v>1223</v>
      </c>
      <c r="C401" s="173" t="s">
        <v>1636</v>
      </c>
      <c r="D401" s="144" t="s">
        <v>1222</v>
      </c>
      <c r="E401" s="14" t="s">
        <v>1637</v>
      </c>
      <c r="F401" s="11" t="s">
        <v>1638</v>
      </c>
      <c r="G401" s="11" t="s">
        <v>1639</v>
      </c>
      <c r="H401" s="13">
        <v>0</v>
      </c>
      <c r="I401" s="29" t="s">
        <v>1640</v>
      </c>
      <c r="J401" s="46" t="s">
        <v>1641</v>
      </c>
      <c r="K401" s="157">
        <v>0</v>
      </c>
      <c r="L401" s="17">
        <v>0</v>
      </c>
      <c r="M401" s="38">
        <v>0</v>
      </c>
      <c r="N401" s="47" t="s">
        <v>44</v>
      </c>
      <c r="O401" s="25">
        <v>47700</v>
      </c>
      <c r="P401" s="158"/>
      <c r="Q401" s="158"/>
      <c r="R401" s="158"/>
      <c r="S401" s="158"/>
      <c r="T401" s="182"/>
      <c r="U401" s="158"/>
    </row>
    <row r="402" spans="1:21" customFormat="1" ht="42.75">
      <c r="A402" s="11" t="s">
        <v>1222</v>
      </c>
      <c r="B402" s="36" t="s">
        <v>1223</v>
      </c>
      <c r="C402" s="173" t="s">
        <v>1642</v>
      </c>
      <c r="D402" s="144" t="s">
        <v>1222</v>
      </c>
      <c r="E402" s="14" t="s">
        <v>1643</v>
      </c>
      <c r="F402" s="11" t="s">
        <v>1644</v>
      </c>
      <c r="G402" s="11" t="s">
        <v>1639</v>
      </c>
      <c r="H402" s="13">
        <v>0</v>
      </c>
      <c r="I402" s="29" t="s">
        <v>1645</v>
      </c>
      <c r="J402" s="46" t="s">
        <v>1646</v>
      </c>
      <c r="K402" s="157">
        <v>0</v>
      </c>
      <c r="L402" s="17">
        <v>0</v>
      </c>
      <c r="M402" s="38">
        <v>0</v>
      </c>
      <c r="N402" s="47" t="s">
        <v>44</v>
      </c>
      <c r="O402" s="25">
        <v>47722</v>
      </c>
      <c r="P402" s="158"/>
      <c r="Q402" s="158"/>
      <c r="R402" s="158"/>
      <c r="S402" s="158"/>
      <c r="T402" s="182"/>
      <c r="U402" s="158"/>
    </row>
    <row r="403" spans="1:21" customFormat="1" ht="42.75">
      <c r="A403" s="11" t="s">
        <v>1222</v>
      </c>
      <c r="B403" s="36" t="s">
        <v>1223</v>
      </c>
      <c r="C403" s="173" t="s">
        <v>1647</v>
      </c>
      <c r="D403" s="144" t="s">
        <v>1222</v>
      </c>
      <c r="E403" s="14" t="s">
        <v>1648</v>
      </c>
      <c r="F403" s="11" t="s">
        <v>1627</v>
      </c>
      <c r="G403" s="11" t="s">
        <v>1639</v>
      </c>
      <c r="H403" s="13">
        <v>0</v>
      </c>
      <c r="I403" s="29" t="s">
        <v>1628</v>
      </c>
      <c r="J403" s="46" t="s">
        <v>1629</v>
      </c>
      <c r="K403" s="157">
        <v>0</v>
      </c>
      <c r="L403" s="17">
        <v>0</v>
      </c>
      <c r="M403" s="38">
        <v>0</v>
      </c>
      <c r="N403" s="47" t="s">
        <v>44</v>
      </c>
      <c r="O403" s="25">
        <v>47716</v>
      </c>
      <c r="P403" s="158"/>
      <c r="Q403" s="158"/>
      <c r="R403" s="158"/>
      <c r="S403" s="158"/>
      <c r="T403" s="182"/>
      <c r="U403" s="158"/>
    </row>
    <row r="404" spans="1:21" customFormat="1" ht="42.75">
      <c r="A404" s="11" t="s">
        <v>1222</v>
      </c>
      <c r="B404" s="36" t="s">
        <v>1223</v>
      </c>
      <c r="C404" s="173" t="s">
        <v>1649</v>
      </c>
      <c r="D404" s="144" t="s">
        <v>1222</v>
      </c>
      <c r="E404" s="14" t="s">
        <v>1637</v>
      </c>
      <c r="F404" s="11" t="s">
        <v>1650</v>
      </c>
      <c r="G404" s="11" t="s">
        <v>1651</v>
      </c>
      <c r="H404" s="13">
        <v>0</v>
      </c>
      <c r="I404" s="29" t="s">
        <v>1652</v>
      </c>
      <c r="J404" s="46" t="s">
        <v>1653</v>
      </c>
      <c r="K404" s="157">
        <v>0</v>
      </c>
      <c r="L404" s="17">
        <v>0</v>
      </c>
      <c r="M404" s="38">
        <v>0</v>
      </c>
      <c r="N404" s="47" t="s">
        <v>44</v>
      </c>
      <c r="O404" s="25">
        <v>47701</v>
      </c>
      <c r="P404" s="158"/>
      <c r="Q404" s="158"/>
      <c r="R404" s="158"/>
      <c r="S404" s="158"/>
      <c r="T404" s="182"/>
      <c r="U404" s="158"/>
    </row>
    <row r="405" spans="1:21" customFormat="1" ht="52.5">
      <c r="A405" s="11" t="s">
        <v>1222</v>
      </c>
      <c r="B405" s="36" t="s">
        <v>1223</v>
      </c>
      <c r="C405" s="173" t="s">
        <v>1654</v>
      </c>
      <c r="D405" s="144" t="s">
        <v>1222</v>
      </c>
      <c r="E405" s="14" t="s">
        <v>1655</v>
      </c>
      <c r="F405" s="11" t="s">
        <v>1656</v>
      </c>
      <c r="G405" s="11" t="s">
        <v>1651</v>
      </c>
      <c r="H405" s="13">
        <v>0</v>
      </c>
      <c r="I405" s="29" t="s">
        <v>1657</v>
      </c>
      <c r="J405" s="46" t="s">
        <v>1658</v>
      </c>
      <c r="K405" s="157">
        <v>0</v>
      </c>
      <c r="L405" s="17">
        <v>0</v>
      </c>
      <c r="M405" s="38">
        <v>0</v>
      </c>
      <c r="N405" s="47" t="s">
        <v>44</v>
      </c>
      <c r="O405" s="25">
        <v>47726</v>
      </c>
      <c r="P405" s="158"/>
      <c r="Q405" s="158"/>
      <c r="R405" s="158"/>
      <c r="S405" s="158"/>
      <c r="T405" s="182"/>
      <c r="U405" s="158"/>
    </row>
    <row r="406" spans="1:21" customFormat="1" ht="63.75">
      <c r="A406" s="11" t="s">
        <v>1222</v>
      </c>
      <c r="B406" s="36" t="s">
        <v>1223</v>
      </c>
      <c r="C406" s="173" t="s">
        <v>1659</v>
      </c>
      <c r="D406" s="144" t="s">
        <v>1222</v>
      </c>
      <c r="E406" s="14" t="s">
        <v>1660</v>
      </c>
      <c r="F406" s="11" t="s">
        <v>1661</v>
      </c>
      <c r="G406" s="11" t="s">
        <v>1651</v>
      </c>
      <c r="H406" s="13">
        <v>0</v>
      </c>
      <c r="I406" s="29" t="s">
        <v>1662</v>
      </c>
      <c r="J406" s="46" t="s">
        <v>1663</v>
      </c>
      <c r="K406" s="157">
        <v>0</v>
      </c>
      <c r="L406" s="17">
        <v>0</v>
      </c>
      <c r="M406" s="38">
        <v>0</v>
      </c>
      <c r="N406" s="47" t="s">
        <v>44</v>
      </c>
      <c r="O406" s="25">
        <v>47729</v>
      </c>
      <c r="P406" s="158"/>
      <c r="Q406" s="158"/>
      <c r="R406" s="158"/>
      <c r="S406" s="158"/>
      <c r="T406" s="182"/>
      <c r="U406" s="158"/>
    </row>
    <row r="407" spans="1:21" customFormat="1" ht="74.25">
      <c r="A407" s="11" t="s">
        <v>1222</v>
      </c>
      <c r="B407" s="36" t="s">
        <v>1223</v>
      </c>
      <c r="C407" s="173" t="s">
        <v>1664</v>
      </c>
      <c r="D407" s="144" t="s">
        <v>1222</v>
      </c>
      <c r="E407" s="14" t="s">
        <v>1665</v>
      </c>
      <c r="F407" s="11" t="s">
        <v>1666</v>
      </c>
      <c r="G407" s="11" t="s">
        <v>1667</v>
      </c>
      <c r="H407" s="13">
        <v>0</v>
      </c>
      <c r="I407" s="29" t="s">
        <v>1668</v>
      </c>
      <c r="J407" s="46" t="s">
        <v>1669</v>
      </c>
      <c r="K407" s="157">
        <v>0</v>
      </c>
      <c r="L407" s="17">
        <v>0</v>
      </c>
      <c r="M407" s="38">
        <v>0</v>
      </c>
      <c r="N407" s="47" t="s">
        <v>44</v>
      </c>
      <c r="O407" s="25">
        <v>47742</v>
      </c>
      <c r="P407" s="158"/>
      <c r="Q407" s="158"/>
      <c r="R407" s="158"/>
      <c r="S407" s="158"/>
      <c r="T407" s="182"/>
      <c r="U407" s="158"/>
    </row>
    <row r="408" spans="1:21" customFormat="1" ht="74.25">
      <c r="A408" s="11" t="s">
        <v>1222</v>
      </c>
      <c r="B408" s="36" t="s">
        <v>1223</v>
      </c>
      <c r="C408" s="173" t="s">
        <v>1670</v>
      </c>
      <c r="D408" s="144" t="s">
        <v>1222</v>
      </c>
      <c r="E408" s="14" t="s">
        <v>1671</v>
      </c>
      <c r="F408" s="11" t="s">
        <v>1672</v>
      </c>
      <c r="G408" s="11" t="s">
        <v>41</v>
      </c>
      <c r="H408" s="13">
        <v>0</v>
      </c>
      <c r="I408" s="29" t="s">
        <v>1673</v>
      </c>
      <c r="J408" s="46" t="s">
        <v>1674</v>
      </c>
      <c r="K408" s="157">
        <v>0</v>
      </c>
      <c r="L408" s="17">
        <v>0</v>
      </c>
      <c r="M408" s="38">
        <v>0</v>
      </c>
      <c r="N408" s="47" t="s">
        <v>44</v>
      </c>
      <c r="O408" s="25">
        <v>47741</v>
      </c>
      <c r="P408" s="158"/>
      <c r="Q408" s="158"/>
      <c r="R408" s="158"/>
      <c r="S408" s="158"/>
      <c r="T408" s="182"/>
      <c r="U408" s="158"/>
    </row>
    <row r="409" spans="1:21" customFormat="1" ht="84.75">
      <c r="A409" s="11" t="s">
        <v>1222</v>
      </c>
      <c r="B409" s="36" t="s">
        <v>1223</v>
      </c>
      <c r="C409" s="173" t="s">
        <v>1675</v>
      </c>
      <c r="D409" s="144" t="s">
        <v>1222</v>
      </c>
      <c r="E409" s="14" t="s">
        <v>1676</v>
      </c>
      <c r="F409" s="11" t="s">
        <v>1677</v>
      </c>
      <c r="G409" s="11" t="s">
        <v>1651</v>
      </c>
      <c r="H409" s="13">
        <v>0</v>
      </c>
      <c r="I409" s="29" t="s">
        <v>1678</v>
      </c>
      <c r="J409" s="46" t="s">
        <v>1679</v>
      </c>
      <c r="K409" s="157">
        <v>0</v>
      </c>
      <c r="L409" s="17">
        <v>0</v>
      </c>
      <c r="M409" s="38">
        <v>0</v>
      </c>
      <c r="N409" s="47" t="s">
        <v>44</v>
      </c>
      <c r="O409" s="25">
        <v>47754</v>
      </c>
      <c r="P409" s="158"/>
      <c r="Q409" s="158"/>
      <c r="R409" s="158"/>
      <c r="S409" s="158"/>
      <c r="T409" s="182"/>
      <c r="U409" s="158"/>
    </row>
    <row r="410" spans="1:21" customFormat="1" ht="32.25">
      <c r="A410" s="11" t="s">
        <v>1222</v>
      </c>
      <c r="B410" s="36" t="s">
        <v>1223</v>
      </c>
      <c r="C410" s="173" t="s">
        <v>1680</v>
      </c>
      <c r="D410" s="144" t="s">
        <v>1222</v>
      </c>
      <c r="E410" s="14" t="s">
        <v>1681</v>
      </c>
      <c r="F410" s="11" t="s">
        <v>1682</v>
      </c>
      <c r="G410" s="11" t="s">
        <v>1683</v>
      </c>
      <c r="H410" s="13">
        <v>0</v>
      </c>
      <c r="I410" s="29" t="s">
        <v>1662</v>
      </c>
      <c r="J410" s="46" t="s">
        <v>1684</v>
      </c>
      <c r="K410" s="157">
        <v>0</v>
      </c>
      <c r="L410" s="17">
        <v>0</v>
      </c>
      <c r="M410" s="38">
        <v>0</v>
      </c>
      <c r="N410" s="47" t="s">
        <v>44</v>
      </c>
      <c r="O410" s="25">
        <v>47765</v>
      </c>
      <c r="P410" s="158"/>
      <c r="Q410" s="158"/>
      <c r="R410" s="158"/>
      <c r="S410" s="158"/>
      <c r="T410" s="182"/>
      <c r="U410" s="158"/>
    </row>
    <row r="411" spans="1:21" customFormat="1" ht="74.25">
      <c r="A411" s="11" t="s">
        <v>1222</v>
      </c>
      <c r="B411" s="36" t="s">
        <v>1223</v>
      </c>
      <c r="C411" s="173" t="s">
        <v>1685</v>
      </c>
      <c r="D411" s="144" t="s">
        <v>1222</v>
      </c>
      <c r="E411" s="14" t="s">
        <v>1686</v>
      </c>
      <c r="F411" s="11" t="s">
        <v>1687</v>
      </c>
      <c r="G411" s="11" t="s">
        <v>41</v>
      </c>
      <c r="H411" s="13">
        <v>0</v>
      </c>
      <c r="I411" s="29" t="s">
        <v>1688</v>
      </c>
      <c r="J411" s="46" t="s">
        <v>1689</v>
      </c>
      <c r="K411" s="157">
        <v>0</v>
      </c>
      <c r="L411" s="17">
        <v>0</v>
      </c>
      <c r="M411" s="38">
        <v>0</v>
      </c>
      <c r="N411" s="47" t="s">
        <v>44</v>
      </c>
      <c r="O411" s="25">
        <v>47685</v>
      </c>
      <c r="P411" s="158"/>
      <c r="Q411" s="158"/>
      <c r="R411" s="158"/>
      <c r="S411" s="158"/>
      <c r="T411" s="182"/>
      <c r="U411" s="158"/>
    </row>
    <row r="412" spans="1:21" customFormat="1" ht="84.75">
      <c r="A412" s="11" t="s">
        <v>1222</v>
      </c>
      <c r="B412" s="36" t="s">
        <v>1223</v>
      </c>
      <c r="C412" s="173" t="s">
        <v>1690</v>
      </c>
      <c r="D412" s="144" t="s">
        <v>1222</v>
      </c>
      <c r="E412" s="14" t="s">
        <v>1691</v>
      </c>
      <c r="F412" s="11" t="s">
        <v>1692</v>
      </c>
      <c r="G412" s="11" t="s">
        <v>1651</v>
      </c>
      <c r="H412" s="13">
        <v>0</v>
      </c>
      <c r="I412" s="29" t="s">
        <v>1693</v>
      </c>
      <c r="J412" s="46" t="s">
        <v>1694</v>
      </c>
      <c r="K412" s="157">
        <v>0</v>
      </c>
      <c r="L412" s="17">
        <v>0</v>
      </c>
      <c r="M412" s="38">
        <v>0</v>
      </c>
      <c r="N412" s="47" t="s">
        <v>44</v>
      </c>
      <c r="O412" s="25">
        <v>47758</v>
      </c>
      <c r="P412" s="158"/>
      <c r="Q412" s="158"/>
      <c r="R412" s="158"/>
      <c r="S412" s="158"/>
      <c r="T412" s="182"/>
      <c r="U412" s="158"/>
    </row>
    <row r="413" spans="1:21" customFormat="1" ht="74.25">
      <c r="A413" s="11" t="s">
        <v>1222</v>
      </c>
      <c r="B413" s="36" t="s">
        <v>1223</v>
      </c>
      <c r="C413" s="173" t="s">
        <v>1695</v>
      </c>
      <c r="D413" s="144" t="s">
        <v>1222</v>
      </c>
      <c r="E413" s="14" t="s">
        <v>1696</v>
      </c>
      <c r="F413" s="11" t="s">
        <v>1697</v>
      </c>
      <c r="G413" s="11" t="s">
        <v>41</v>
      </c>
      <c r="H413" s="13">
        <v>0</v>
      </c>
      <c r="I413" s="106" t="s">
        <v>1698</v>
      </c>
      <c r="J413" s="46" t="s">
        <v>1699</v>
      </c>
      <c r="K413" s="157">
        <v>45863.698333333297</v>
      </c>
      <c r="L413" s="17">
        <v>550364.37999999954</v>
      </c>
      <c r="M413" s="38">
        <v>550364.37999999954</v>
      </c>
      <c r="N413" s="47" t="s">
        <v>36</v>
      </c>
      <c r="O413" s="25">
        <v>45982</v>
      </c>
      <c r="P413" s="158"/>
      <c r="Q413" s="158"/>
      <c r="R413" s="158"/>
      <c r="S413" s="158"/>
      <c r="T413" s="182"/>
      <c r="U413" s="158"/>
    </row>
    <row r="414" spans="1:21" ht="72">
      <c r="A414" s="64" t="s">
        <v>890</v>
      </c>
      <c r="B414" s="12" t="s">
        <v>1700</v>
      </c>
      <c r="C414" s="174" t="s">
        <v>1701</v>
      </c>
      <c r="D414" s="13" t="s">
        <v>1702</v>
      </c>
      <c r="E414" s="126" t="s">
        <v>1703</v>
      </c>
      <c r="F414" s="13" t="s">
        <v>1704</v>
      </c>
      <c r="G414" s="13" t="s">
        <v>1705</v>
      </c>
      <c r="H414" s="13">
        <v>0</v>
      </c>
      <c r="I414" s="15" t="s">
        <v>1706</v>
      </c>
      <c r="J414" s="15" t="s">
        <v>1707</v>
      </c>
      <c r="K414" s="59">
        <v>3049.1666</v>
      </c>
      <c r="L414" s="17">
        <v>36589.999199999998</v>
      </c>
      <c r="M414" s="17">
        <v>36589.999199999998</v>
      </c>
      <c r="N414" s="18" t="s">
        <v>36</v>
      </c>
      <c r="O414" s="19">
        <v>46206</v>
      </c>
    </row>
  </sheetData>
  <autoFilter ref="A1:O330" xr:uid="{F907FBF5-B9BF-4386-B7C6-CC1B6CE01B06}"/>
  <conditionalFormatting sqref="C1">
    <cfRule type="duplicateValues" dxfId="24" priority="46"/>
  </conditionalFormatting>
  <conditionalFormatting sqref="C29">
    <cfRule type="duplicateValues" dxfId="23" priority="10"/>
  </conditionalFormatting>
  <conditionalFormatting sqref="C72:C74">
    <cfRule type="duplicateValues" dxfId="22" priority="61"/>
  </conditionalFormatting>
  <conditionalFormatting sqref="C75">
    <cfRule type="duplicateValues" dxfId="21" priority="64"/>
  </conditionalFormatting>
  <conditionalFormatting sqref="C207">
    <cfRule type="duplicateValues" dxfId="20" priority="6"/>
  </conditionalFormatting>
  <conditionalFormatting sqref="C209">
    <cfRule type="duplicateValues" dxfId="19" priority="4"/>
  </conditionalFormatting>
  <conditionalFormatting sqref="C210:C223 C208">
    <cfRule type="duplicateValues" dxfId="18" priority="73"/>
  </conditionalFormatting>
  <conditionalFormatting sqref="C331:C332">
    <cfRule type="duplicateValues" dxfId="17" priority="16"/>
  </conditionalFormatting>
  <conditionalFormatting sqref="C333:C334">
    <cfRule type="duplicateValues" dxfId="16" priority="15"/>
  </conditionalFormatting>
  <conditionalFormatting sqref="C351:C352">
    <cfRule type="duplicateValues" dxfId="15" priority="14"/>
  </conditionalFormatting>
  <conditionalFormatting sqref="C353:C359">
    <cfRule type="duplicateValues" dxfId="14" priority="13"/>
  </conditionalFormatting>
  <conditionalFormatting sqref="C414">
    <cfRule type="duplicateValues" dxfId="13" priority="2"/>
  </conditionalFormatting>
  <conditionalFormatting sqref="E1">
    <cfRule type="duplicateValues" dxfId="12" priority="33"/>
  </conditionalFormatting>
  <conditionalFormatting sqref="F30:F34">
    <cfRule type="duplicateValues" dxfId="11" priority="60"/>
  </conditionalFormatting>
  <conditionalFormatting sqref="F374:F376">
    <cfRule type="duplicateValues" dxfId="10" priority="11"/>
  </conditionalFormatting>
  <conditionalFormatting sqref="F1:G1">
    <cfRule type="duplicateValues" dxfId="9" priority="34"/>
  </conditionalFormatting>
  <conditionalFormatting sqref="F29:G29">
    <cfRule type="duplicateValues" dxfId="8" priority="9"/>
  </conditionalFormatting>
  <conditionalFormatting sqref="F75:G75">
    <cfRule type="duplicateValues" dxfId="7" priority="63"/>
  </conditionalFormatting>
  <conditionalFormatting sqref="F207:G207">
    <cfRule type="duplicateValues" dxfId="6" priority="5"/>
  </conditionalFormatting>
  <conditionalFormatting sqref="F208:G208">
    <cfRule type="duplicateValues" dxfId="5" priority="17"/>
  </conditionalFormatting>
  <conditionalFormatting sqref="F209:G209">
    <cfRule type="duplicateValues" dxfId="4" priority="3"/>
  </conditionalFormatting>
  <conditionalFormatting sqref="F210:G223">
    <cfRule type="duplicateValues" dxfId="3" priority="71"/>
  </conditionalFormatting>
  <conditionalFormatting sqref="F353:G359">
    <cfRule type="duplicateValues" dxfId="2" priority="12"/>
  </conditionalFormatting>
  <conditionalFormatting sqref="F414:G414">
    <cfRule type="duplicateValues" dxfId="1" priority="1"/>
  </conditionalFormatting>
  <conditionalFormatting sqref="G70">
    <cfRule type="duplicateValues" dxfId="0" priority="18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Roquete Cabral Junior</dc:creator>
  <cp:keywords/>
  <dc:description/>
  <cp:lastModifiedBy>Eduardo Roquete Cabral Junior</cp:lastModifiedBy>
  <cp:revision/>
  <dcterms:created xsi:type="dcterms:W3CDTF">2025-11-01T03:51:55Z</dcterms:created>
  <dcterms:modified xsi:type="dcterms:W3CDTF">2025-11-03T16:56:33Z</dcterms:modified>
  <cp:category/>
  <cp:contentStatus/>
</cp:coreProperties>
</file>