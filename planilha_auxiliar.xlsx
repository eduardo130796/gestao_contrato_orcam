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pudef-my.sharepoint.com/personal/eduardo_junior_dpu_def_br/Documents/Códigos/Orçamento/"/>
    </mc:Choice>
  </mc:AlternateContent>
  <xr:revisionPtr revIDLastSave="1107" documentId="8_{02C9326C-AC33-40B5-BFCD-E8E11BB02F76}" xr6:coauthVersionLast="47" xr6:coauthVersionMax="47" xr10:uidLastSave="{6E33F93D-2542-4E70-98A0-4EE3C340BD23}"/>
  <bookViews>
    <workbookView xWindow="-120" yWindow="-120" windowWidth="24240" windowHeight="131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57" i="1" l="1"/>
  <c r="F744" i="1"/>
  <c r="F739" i="1"/>
  <c r="F738" i="1"/>
  <c r="F702" i="1"/>
  <c r="F700" i="1"/>
  <c r="F699" i="1"/>
  <c r="F698" i="1"/>
  <c r="F697" i="1"/>
  <c r="F706" i="1"/>
  <c r="F696" i="1" s="1"/>
  <c r="F695" i="1"/>
  <c r="F694" i="1"/>
  <c r="F703" i="1"/>
  <c r="F693" i="1" s="1"/>
  <c r="F687" i="1"/>
  <c r="F686" i="1"/>
  <c r="F685" i="1"/>
  <c r="F684" i="1"/>
  <c r="F688" i="1"/>
  <c r="F680" i="1"/>
  <c r="F679" i="1"/>
  <c r="F668" i="1"/>
  <c r="F670" i="1"/>
  <c r="F666" i="1" s="1"/>
  <c r="F665" i="1"/>
  <c r="F636" i="1"/>
  <c r="F635" i="1"/>
  <c r="F634" i="1"/>
  <c r="F632" i="1"/>
  <c r="F630" i="1"/>
  <c r="F626" i="1"/>
  <c r="F625" i="1"/>
  <c r="F624" i="1"/>
  <c r="F618" i="1"/>
  <c r="F617" i="1"/>
  <c r="F616" i="1"/>
  <c r="F615" i="1"/>
  <c r="F614" i="1"/>
  <c r="F611" i="1"/>
  <c r="F608" i="1"/>
  <c r="F588" i="1"/>
  <c r="F587" i="1"/>
  <c r="F584" i="1"/>
  <c r="F583" i="1" s="1"/>
  <c r="F577" i="1"/>
  <c r="F575" i="1"/>
  <c r="F572" i="1"/>
  <c r="F571" i="1"/>
  <c r="F568" i="1"/>
  <c r="F567" i="1"/>
  <c r="F566" i="1"/>
  <c r="F564" i="1"/>
  <c r="F562" i="1"/>
  <c r="F559" i="1"/>
  <c r="F560" i="1"/>
  <c r="F558" i="1" s="1"/>
  <c r="F555" i="1"/>
  <c r="F556" i="1"/>
  <c r="F554" i="1" s="1"/>
  <c r="F551" i="1"/>
  <c r="F552" i="1"/>
  <c r="F550" i="1"/>
  <c r="F545" i="1"/>
  <c r="F537" i="1"/>
  <c r="F533" i="1"/>
  <c r="F531" i="1"/>
  <c r="F530" i="1" s="1"/>
  <c r="F527" i="1"/>
  <c r="F515" i="1"/>
  <c r="F516" i="1"/>
  <c r="F514" i="1" s="1"/>
  <c r="F513" i="1"/>
  <c r="F498" i="1"/>
  <c r="F497" i="1"/>
  <c r="F495" i="1"/>
  <c r="F116" i="1"/>
  <c r="F284" i="1"/>
  <c r="F291" i="1"/>
  <c r="H294" i="1"/>
  <c r="H299" i="1"/>
  <c r="F298" i="1"/>
  <c r="H298" i="1" s="1"/>
  <c r="F409" i="1"/>
  <c r="F408" i="1"/>
  <c r="F406" i="1"/>
  <c r="F405" i="1"/>
  <c r="F404" i="1"/>
  <c r="F393" i="1"/>
  <c r="F392" i="1"/>
  <c r="F488" i="1"/>
  <c r="F490" i="1"/>
  <c r="F489" i="1"/>
  <c r="F487" i="1"/>
  <c r="F486" i="1"/>
  <c r="F485" i="1"/>
  <c r="F484" i="1"/>
  <c r="F483" i="1"/>
  <c r="F482" i="1"/>
  <c r="F481" i="1"/>
  <c r="F480" i="1"/>
  <c r="F473" i="1"/>
  <c r="F468" i="1"/>
  <c r="F467" i="1"/>
  <c r="F466" i="1"/>
  <c r="F451" i="1"/>
  <c r="F450" i="1"/>
  <c r="F449" i="1"/>
  <c r="F448" i="1"/>
  <c r="F447" i="1"/>
  <c r="F446" i="1"/>
  <c r="F445" i="1"/>
  <c r="F440" i="1"/>
  <c r="F432" i="1"/>
  <c r="F431" i="1"/>
  <c r="F427" i="1"/>
  <c r="F412" i="1"/>
  <c r="F407" i="1"/>
  <c r="F403" i="1"/>
  <c r="F402" i="1"/>
  <c r="F401" i="1"/>
  <c r="F400" i="1"/>
  <c r="F399" i="1"/>
  <c r="F397" i="1"/>
  <c r="F396" i="1"/>
  <c r="F395" i="1"/>
  <c r="F394" i="1"/>
  <c r="F387" i="1"/>
  <c r="F374" i="1"/>
  <c r="F371" i="1"/>
  <c r="F364" i="1"/>
  <c r="F359" i="1"/>
  <c r="F358" i="1"/>
  <c r="F353" i="1"/>
  <c r="F347" i="1"/>
  <c r="F338" i="1"/>
  <c r="F330" i="1"/>
  <c r="F327" i="1"/>
  <c r="F322" i="1"/>
  <c r="F318" i="1"/>
  <c r="F317" i="1"/>
  <c r="F309" i="1"/>
  <c r="F276" i="1"/>
  <c r="F273" i="1"/>
  <c r="F274" i="1"/>
  <c r="F275" i="1"/>
  <c r="F278" i="1"/>
  <c r="F277" i="1"/>
  <c r="F268" i="1"/>
  <c r="F263" i="1"/>
  <c r="F260" i="1"/>
  <c r="F256" i="1"/>
  <c r="F251" i="1"/>
  <c r="F246" i="1"/>
  <c r="F241" i="1"/>
  <c r="F240" i="1"/>
  <c r="F235" i="1"/>
  <c r="F234" i="1"/>
  <c r="F230" i="1"/>
  <c r="F229" i="1"/>
  <c r="F228" i="1"/>
  <c r="F223" i="1"/>
  <c r="F222" i="1"/>
  <c r="F217" i="1"/>
  <c r="F191" i="1"/>
  <c r="F190" i="1"/>
  <c r="F186" i="1"/>
  <c r="F181" i="1"/>
  <c r="F176" i="1"/>
  <c r="F168" i="1"/>
  <c r="F165" i="1"/>
  <c r="F161" i="1"/>
  <c r="F160" i="1"/>
  <c r="F159" i="1"/>
  <c r="F153" i="1"/>
  <c r="F146" i="1"/>
  <c r="F144" i="1"/>
  <c r="F139" i="1"/>
  <c r="F119" i="1"/>
  <c r="F111" i="1"/>
  <c r="F110" i="1"/>
  <c r="F104" i="1"/>
  <c r="F28" i="1" l="1"/>
  <c r="F89" i="1"/>
  <c r="F84" i="1"/>
  <c r="F82" i="1"/>
  <c r="F77" i="1"/>
  <c r="F70" i="1"/>
  <c r="F67" i="1"/>
  <c r="F57" i="1"/>
  <c r="F61" i="1"/>
  <c r="F60" i="1"/>
  <c r="F59" i="1"/>
  <c r="F58" i="1"/>
  <c r="F54" i="1"/>
  <c r="F56" i="1"/>
  <c r="F55" i="1"/>
  <c r="F53" i="1"/>
  <c r="F52" i="1"/>
  <c r="F48" i="1"/>
  <c r="F51" i="1"/>
  <c r="F50" i="1"/>
  <c r="F49" i="1"/>
  <c r="F47" i="1"/>
  <c r="F46" i="1"/>
  <c r="F45" i="1"/>
  <c r="F44" i="1"/>
  <c r="F42" i="1"/>
  <c r="F43" i="1"/>
  <c r="F40" i="1"/>
  <c r="F37" i="1"/>
  <c r="F41" i="1"/>
  <c r="F39" i="1"/>
  <c r="F38" i="1"/>
  <c r="F36" i="1"/>
  <c r="F35" i="1"/>
  <c r="F34" i="1"/>
  <c r="F33" i="1"/>
  <c r="F32" i="1"/>
  <c r="F27" i="1" l="1"/>
  <c r="F26" i="1"/>
  <c r="F19" i="1"/>
  <c r="F5" i="1" l="1"/>
  <c r="F3" i="1"/>
</calcChain>
</file>

<file path=xl/sharedStrings.xml><?xml version="1.0" encoding="utf-8"?>
<sst xmlns="http://schemas.openxmlformats.org/spreadsheetml/2006/main" count="3048" uniqueCount="645">
  <si>
    <t>CONTRATO</t>
  </si>
  <si>
    <t>UNIDADE</t>
  </si>
  <si>
    <t>OBJETO</t>
  </si>
  <si>
    <t>DATA DA OCORRENCIA</t>
  </si>
  <si>
    <t>DATA INÍCIO</t>
  </si>
  <si>
    <t>VALOR MENSAL</t>
  </si>
  <si>
    <t>TIPO DE ALTERAÇÃO</t>
  </si>
  <si>
    <t>ORIGEM DA ALTERAÇÃO</t>
  </si>
  <si>
    <t>OBSERVAÇÃO</t>
  </si>
  <si>
    <t>0018/2022</t>
  </si>
  <si>
    <t>BRASÍLIA</t>
  </si>
  <si>
    <t>CONTRATAÇÃO DE PESSOA JURÍDICA PARA PRESTAÇÃO DE SERVIÇOS CONTINUADOS DE JORNALISMO, DESIGN GRÁFICO, FOTOGRAFIA E AUDIOVISUAL NAS DEPENDÊNCIAS DA DEFENSORIA PÚBLICA DA UNIÃO, NO DISTRITO FEDERAL. - JORNALISMO</t>
  </si>
  <si>
    <t>Valor Inicial</t>
  </si>
  <si>
    <t>CONTRATAÇÃO DE PESSOA JURÍDICA PARA PRESTAÇÃO DE SERVIÇOS CONTINUADOS DE JORNALISMO, DESIGN GRÁFICO, FOTOGRAFIA E AUDIOVISUAL NAS DEPENDÊNCIAS DA DEFENSORIA PÚBLICA DA UNIÃO, NO DISTRITO FEDERAL. - DIÁRIAS</t>
  </si>
  <si>
    <t>Solicitação Repactuação 2025</t>
  </si>
  <si>
    <t>0227/2022</t>
  </si>
  <si>
    <t>LOCAÇÃO DE VEÍCULOS</t>
  </si>
  <si>
    <t>Repactuado 2025</t>
  </si>
  <si>
    <t>CAMPO GRANDE</t>
  </si>
  <si>
    <t>CÁCERES</t>
  </si>
  <si>
    <t>CUIABÁ</t>
  </si>
  <si>
    <t>0135/2022</t>
  </si>
  <si>
    <t>ENERGIA ELÉTRICA E ILUMINAÇÃO PÚBLICA</t>
  </si>
  <si>
    <t>1004/2024</t>
  </si>
  <si>
    <t>GARÇONARIA</t>
  </si>
  <si>
    <t>0212/2022</t>
  </si>
  <si>
    <t>SERVIÇO DE MÃO-DE-OBRA CARCERÁRIA</t>
  </si>
  <si>
    <t>0004/2022</t>
  </si>
  <si>
    <t>CARREGADOR E ESTIVA</t>
  </si>
  <si>
    <t>0146/2022</t>
  </si>
  <si>
    <t>VIGILÂNCIA PATRIMONIAL 44H</t>
  </si>
  <si>
    <t>0112/2022</t>
  </si>
  <si>
    <t>ÁGUA E TRATAMENTO DE ESGOTO</t>
  </si>
  <si>
    <t>0037/2022</t>
  </si>
  <si>
    <t>5005/2023</t>
  </si>
  <si>
    <t>ABASTECIMENTO DE ÁGUA POTÁVEL E/OU DE ESGOTAMENTO SANITÁRIO</t>
  </si>
  <si>
    <t>5007/2023</t>
  </si>
  <si>
    <t>0069/2024</t>
  </si>
  <si>
    <t>LIMPEZA E CONSERVAÇÃO</t>
  </si>
  <si>
    <t>0035/2024</t>
  </si>
  <si>
    <t>MANUTENÇÃO DE AR CONDICIONADO</t>
  </si>
  <si>
    <t>0178/2022</t>
  </si>
  <si>
    <t>0030/2022</t>
  </si>
  <si>
    <t>0083/2021</t>
  </si>
  <si>
    <t>VIGILÂNCIA PATRIMONIAL 12x36 DIURNO</t>
  </si>
  <si>
    <t>0183/2022</t>
  </si>
  <si>
    <t>DOURADOS</t>
  </si>
  <si>
    <t>0150/2022</t>
  </si>
  <si>
    <t>0207/2022</t>
  </si>
  <si>
    <t>0027/2024</t>
  </si>
  <si>
    <t>0017/2023</t>
  </si>
  <si>
    <t>GOIÂNIA</t>
  </si>
  <si>
    <t>Reajustado 2025</t>
  </si>
  <si>
    <t>0072/2023</t>
  </si>
  <si>
    <t>0101/2023</t>
  </si>
  <si>
    <t>BELÉM 
SANTARÉM 
ALTAMIRA</t>
  </si>
  <si>
    <t>VIGILÂNCIA PATRIMONIAL</t>
  </si>
  <si>
    <t>0035/2022</t>
  </si>
  <si>
    <t>RIO BRANCO</t>
  </si>
  <si>
    <t>MANAUS</t>
  </si>
  <si>
    <t>ALTAMIRA</t>
  </si>
  <si>
    <t>PORTO VELHO</t>
  </si>
  <si>
    <t>BOA VISTA</t>
  </si>
  <si>
    <t>Valor Repactuado</t>
  </si>
  <si>
    <t>0158/2022</t>
  </si>
  <si>
    <t>0085/2025</t>
  </si>
  <si>
    <t>0067/2022</t>
  </si>
  <si>
    <t>BELÉM</t>
  </si>
  <si>
    <t>0062/2022</t>
  </si>
  <si>
    <t>0053/2025</t>
  </si>
  <si>
    <t>0078/2025</t>
  </si>
  <si>
    <t>0181/2022</t>
  </si>
  <si>
    <t>0063/2022</t>
  </si>
  <si>
    <t>0021/2024</t>
  </si>
  <si>
    <t>Solicitado Repactuação 2025</t>
  </si>
  <si>
    <t>0086/2023</t>
  </si>
  <si>
    <t>0112/2025</t>
  </si>
  <si>
    <t xml:space="preserve">MACAPÁ  </t>
  </si>
  <si>
    <t xml:space="preserve">VIGILÂNCIA PATRIMONIAL </t>
  </si>
  <si>
    <t>0034/2022</t>
  </si>
  <si>
    <t>MACAPÁ</t>
  </si>
  <si>
    <t>6001/2025</t>
  </si>
  <si>
    <t>Rescisão</t>
  </si>
  <si>
    <t>0077/2025</t>
  </si>
  <si>
    <t>0124/2022</t>
  </si>
  <si>
    <t>0027/2022</t>
  </si>
  <si>
    <t>0056/2023</t>
  </si>
  <si>
    <t>Insalubridade</t>
  </si>
  <si>
    <t>0020/2024</t>
  </si>
  <si>
    <t>0092/2020</t>
  </si>
  <si>
    <t>MANUTENÇÃO PREVENTIVA E CORRETIVA - ETE</t>
  </si>
  <si>
    <t>0119/2023</t>
  </si>
  <si>
    <t>MANUTENÇÃO PREVENTIVA E/OU CORRETIVA NO GRUPO GERADOR</t>
  </si>
  <si>
    <t>0068/2022</t>
  </si>
  <si>
    <t xml:space="preserve">PALMAS  </t>
  </si>
  <si>
    <t>0077/2022</t>
  </si>
  <si>
    <t>0253/2022</t>
  </si>
  <si>
    <t>0023/2024</t>
  </si>
  <si>
    <t>0114/2023</t>
  </si>
  <si>
    <t>MANUTENÇÃO PREVENTIVA E CORRETIVA EM PLATAFORMA DE ACESSIBILIDADE</t>
  </si>
  <si>
    <t>0080/2024</t>
  </si>
  <si>
    <t>0139/2022</t>
  </si>
  <si>
    <t>0086/2025</t>
  </si>
  <si>
    <t>0152/2021</t>
  </si>
  <si>
    <t>0064/2022</t>
  </si>
  <si>
    <t>0125/2020</t>
  </si>
  <si>
    <t>0066/2022</t>
  </si>
  <si>
    <t>SANTARÉM</t>
  </si>
  <si>
    <t>0065/2022</t>
  </si>
  <si>
    <t>0094/2025</t>
  </si>
  <si>
    <t>0022/2024</t>
  </si>
  <si>
    <t>0096/2025</t>
  </si>
  <si>
    <t>FEIRA DE SANTANA</t>
  </si>
  <si>
    <t>SALVADOR</t>
  </si>
  <si>
    <t>VITÓRIA DA CONQUISTA</t>
  </si>
  <si>
    <t>readequação</t>
  </si>
  <si>
    <t>0243/2022</t>
  </si>
  <si>
    <t>ARACAJU
FORTALEZA
JOÃO PESSOA
MACEIÓ
MOSSORÓ
RECIFE
SÃO LUIS
SOBRAL</t>
  </si>
  <si>
    <t>Repactuado 2024</t>
  </si>
  <si>
    <t>NATAL</t>
  </si>
  <si>
    <t>Supressão</t>
  </si>
  <si>
    <t>5004/2025</t>
  </si>
  <si>
    <t>ARACAJU</t>
  </si>
  <si>
    <t>0104/2022</t>
  </si>
  <si>
    <t>0069/2022</t>
  </si>
  <si>
    <t>0073/2024</t>
  </si>
  <si>
    <t>0081/2024</t>
  </si>
  <si>
    <t>LOCAÇÃO DE IMÓVEL
COMPARTILHADO COM IPHAN</t>
  </si>
  <si>
    <t>0011/2024</t>
  </si>
  <si>
    <t>MANUTENÇÃO PREVENTIVA E CORRETIVA, COM FORNECIMENTO DE PEÇAS, PARA O SISTEMA DE BOMBEAMENTO DE ÁGUA POTÁVEL</t>
  </si>
  <si>
    <t>0033/2024</t>
  </si>
  <si>
    <t>0050/2023</t>
  </si>
  <si>
    <t>MANUTENÇÃO DE ELEVADOR</t>
  </si>
  <si>
    <t>0128/2022</t>
  </si>
  <si>
    <t>ARAPIRACA</t>
  </si>
  <si>
    <t>0118/2022</t>
  </si>
  <si>
    <t>0008/2024</t>
  </si>
  <si>
    <t>0160/2022</t>
  </si>
  <si>
    <t>CAMPINA GRANDE</t>
  </si>
  <si>
    <t>0159/2022</t>
  </si>
  <si>
    <t>0061/2022</t>
  </si>
  <si>
    <t>CARUARU</t>
  </si>
  <si>
    <t>0123/2022</t>
  </si>
  <si>
    <t>0034/2023</t>
  </si>
  <si>
    <t>0186/2022</t>
  </si>
  <si>
    <t xml:space="preserve">VITÓRIA DA CONQUISTA </t>
  </si>
  <si>
    <t>0032/2022</t>
  </si>
  <si>
    <t>0071/2023</t>
  </si>
  <si>
    <t>0130/2022</t>
  </si>
  <si>
    <t>FORTALEZA</t>
  </si>
  <si>
    <t>0071/2022</t>
  </si>
  <si>
    <t>0041/2023</t>
  </si>
  <si>
    <t>0088/2024</t>
  </si>
  <si>
    <t>0032/2024</t>
  </si>
  <si>
    <t>Solicitado Reajuste 2025</t>
  </si>
  <si>
    <t>0060/2022</t>
  </si>
  <si>
    <t>JOÃO PESSOA</t>
  </si>
  <si>
    <t>0098/2022</t>
  </si>
  <si>
    <t>0012/2024</t>
  </si>
  <si>
    <t>0097/2023</t>
  </si>
  <si>
    <t>MANUTENÇÃO PREVENTIVA E CORRETIVA DE PLATAFORMA DE ACESSIBILIDADE</t>
  </si>
  <si>
    <t>0030/2024</t>
  </si>
  <si>
    <t>0031/2022</t>
  </si>
  <si>
    <t>MACEIÓ</t>
  </si>
  <si>
    <t>0097/2022</t>
  </si>
  <si>
    <t>0194/2020</t>
  </si>
  <si>
    <t>0137/2022</t>
  </si>
  <si>
    <t>MOSSORÓ</t>
  </si>
  <si>
    <t>0063/2024</t>
  </si>
  <si>
    <t>0028/2024</t>
  </si>
  <si>
    <t>0231/2022</t>
  </si>
  <si>
    <t>0058/2022</t>
  </si>
  <si>
    <t>0239/2022</t>
  </si>
  <si>
    <t>0111/2022</t>
  </si>
  <si>
    <t>0078/2023</t>
  </si>
  <si>
    <t>0029/2024</t>
  </si>
  <si>
    <t>0120/2023</t>
  </si>
  <si>
    <t>REFORMA PREDIAL</t>
  </si>
  <si>
    <t>Acréscimo</t>
  </si>
  <si>
    <t>0129/2022</t>
  </si>
  <si>
    <t>PETROLINA/PE E JUAZEIRO/BA</t>
  </si>
  <si>
    <t>0138/2022</t>
  </si>
  <si>
    <t>0077/2024</t>
  </si>
  <si>
    <t>0031/2024</t>
  </si>
  <si>
    <t>0059/2022</t>
  </si>
  <si>
    <t>RECIFE</t>
  </si>
  <si>
    <t>0067/2024</t>
  </si>
  <si>
    <t>LOCAÇÃO DE IMÓVEL
COMPARTILHAMENTO</t>
  </si>
  <si>
    <t>5001/2024</t>
  </si>
  <si>
    <t>SERVIÇOS CONDOMINAIS</t>
  </si>
  <si>
    <t>0062/2024</t>
  </si>
  <si>
    <t>0105/2023</t>
  </si>
  <si>
    <t>0220/2022</t>
  </si>
  <si>
    <t>0136/2022</t>
  </si>
  <si>
    <t>0131/2020</t>
  </si>
  <si>
    <t>0066/2024</t>
  </si>
  <si>
    <t>LIMPEZA DE CAIXAS DE GORDURA E CAIXA DE ESGOTO PREDIAL</t>
  </si>
  <si>
    <t>0065/2023</t>
  </si>
  <si>
    <t>reajustado 2025</t>
  </si>
  <si>
    <t>0187/2022</t>
  </si>
  <si>
    <t>SÃO LUÍS</t>
  </si>
  <si>
    <t>0070/2022</t>
  </si>
  <si>
    <t>0097/2025</t>
  </si>
  <si>
    <t>0005/2024</t>
  </si>
  <si>
    <t>SOBRAL</t>
  </si>
  <si>
    <t>0095/2022</t>
  </si>
  <si>
    <t>0258/2022</t>
  </si>
  <si>
    <t>0040/2024</t>
  </si>
  <si>
    <t>0116/2022</t>
  </si>
  <si>
    <t xml:space="preserve">TERESINA </t>
  </si>
  <si>
    <t>0134/2022</t>
  </si>
  <si>
    <t>0038/2021</t>
  </si>
  <si>
    <t>0007/2025</t>
  </si>
  <si>
    <t>0022/2022</t>
  </si>
  <si>
    <t>0103/2021</t>
  </si>
  <si>
    <t>0081/2023</t>
  </si>
  <si>
    <t>ARACAJU
ARAPIRACA
CARUARU
FEIRA DE SANTANA
MACEIÓ
PETROLINA/PE E JUAZEIRO/BA
RECIFE
SALVADOR
VITÓRIA DA CONQUISTA
CAMPINA GRANDE
FORTALEZA
JOÃO PESSOA
MOSSORÓ
NATAL
SÃO LUIZ
SOBRAL
TERESINA</t>
  </si>
  <si>
    <t>LOCAÇÃO DE VEÍCULOS – VANS EXECUTIVAS E CAMINHONETES COM TRAÇÃO 4X4 - POR DIÁRIA - COM MOTORISTA</t>
  </si>
  <si>
    <t xml:space="preserve">ARACAJU
ARAPIRACA
CARUARU
FEIRA DE SANTANA
MACEIÓ
PETROLINA/PE E JUAZEIRO/BA
RECIFE
SALVADOR
VITÓRIA DA CONQUISTA
CAMPINA GRANDE
FORTALEZA
JOÃO PESSOA
MOSSORÓ
NATAL
SÃO LUIZ
SOBRAL
TERESINA
</t>
  </si>
  <si>
    <t>0149/2022</t>
  </si>
  <si>
    <t>0203/2022</t>
  </si>
  <si>
    <t>0263/2022</t>
  </si>
  <si>
    <t>CRICIÚMA</t>
  </si>
  <si>
    <t>FLORIANÓPOLIS</t>
  </si>
  <si>
    <t>JOINVILLE</t>
  </si>
  <si>
    <t>0085/2022</t>
  </si>
  <si>
    <t>BAGÉ</t>
  </si>
  <si>
    <t>0050/2024</t>
  </si>
  <si>
    <t>0121/2022</t>
  </si>
  <si>
    <t>0022/2023</t>
  </si>
  <si>
    <t>0072/2022</t>
  </si>
  <si>
    <t>CANOAS</t>
  </si>
  <si>
    <t>0045/2023</t>
  </si>
  <si>
    <t>0126/2022</t>
  </si>
  <si>
    <t>CASCAVEL</t>
  </si>
  <si>
    <t>0076/2022</t>
  </si>
  <si>
    <t>0002/2025</t>
  </si>
  <si>
    <t>0086/2022</t>
  </si>
  <si>
    <t>0004/2021</t>
  </si>
  <si>
    <t>0034/2024</t>
  </si>
  <si>
    <t>0102/2022</t>
  </si>
  <si>
    <t>CURITIBA</t>
  </si>
  <si>
    <t>0120/2022</t>
  </si>
  <si>
    <t>0064/2024</t>
  </si>
  <si>
    <t>0105/2022</t>
  </si>
  <si>
    <t>0115/2023</t>
  </si>
  <si>
    <t>0161/2022</t>
  </si>
  <si>
    <t>0111/2023</t>
  </si>
  <si>
    <t>0071/2024</t>
  </si>
  <si>
    <t>0039/2024</t>
  </si>
  <si>
    <t>0104/2023</t>
  </si>
  <si>
    <t>0087/2022</t>
  </si>
  <si>
    <t>FOZ DO IGUAÇU</t>
  </si>
  <si>
    <t>0078/2022</t>
  </si>
  <si>
    <t>0112/2023</t>
  </si>
  <si>
    <t>0026/2024</t>
  </si>
  <si>
    <t>0096/2023</t>
  </si>
  <si>
    <t>reajustado 2024</t>
  </si>
  <si>
    <t>0084/2022</t>
  </si>
  <si>
    <t>0039/2022</t>
  </si>
  <si>
    <t>5001/2025</t>
  </si>
  <si>
    <t>0028/2023</t>
  </si>
  <si>
    <t>0051/2024</t>
  </si>
  <si>
    <t>0088/2023</t>
  </si>
  <si>
    <t>0049/2022</t>
  </si>
  <si>
    <t>LONDRINA</t>
  </si>
  <si>
    <t>0088/2022</t>
  </si>
  <si>
    <t>0055/2023</t>
  </si>
  <si>
    <t>0037/2024</t>
  </si>
  <si>
    <t>0113/2022</t>
  </si>
  <si>
    <t>PELOTAS</t>
  </si>
  <si>
    <t>0041/2022</t>
  </si>
  <si>
    <t>0199/2022</t>
  </si>
  <si>
    <t>0038/2024</t>
  </si>
  <si>
    <t>S/N</t>
  </si>
  <si>
    <t>PORTO ALEGRE</t>
  </si>
  <si>
    <t>LOCAÇÃO DE IMÓVEL
 COMODATO COM SERPRO</t>
  </si>
  <si>
    <t>0028/2022</t>
  </si>
  <si>
    <t>RIO GRANDE</t>
  </si>
  <si>
    <t>0079/2024</t>
  </si>
  <si>
    <t>0024/2024</t>
  </si>
  <si>
    <t>0029/2022</t>
  </si>
  <si>
    <t>SANTA MARIA</t>
  </si>
  <si>
    <t>0241/2022</t>
  </si>
  <si>
    <t>0025/2024</t>
  </si>
  <si>
    <t>0083/2022</t>
  </si>
  <si>
    <t>UMUARAMA</t>
  </si>
  <si>
    <t>0082/2022</t>
  </si>
  <si>
    <t>0024/2023</t>
  </si>
  <si>
    <t>0109/2022</t>
  </si>
  <si>
    <t>URUGUAIANA</t>
  </si>
  <si>
    <t>0042/2022</t>
  </si>
  <si>
    <t>0002/2024</t>
  </si>
  <si>
    <t>0036/2024</t>
  </si>
  <si>
    <t>0068/2024</t>
  </si>
  <si>
    <t>CAMPINAS
GUARULHOS
MOGI  DAS CRUZES
REGISTRO
SANTOS E SÃO VICENTEE
SÃO BERNANDO DO CAMPO (ABC PAULISTA)
SÃO JOSÉ DOS CAMPOS
SOROCABA</t>
  </si>
  <si>
    <t>0111/2025</t>
  </si>
  <si>
    <r>
      <t xml:space="preserve">SÃO BERNARDO DO CAMPO </t>
    </r>
    <r>
      <rPr>
        <b/>
        <sz val="9"/>
        <color rgb="FFFF0000"/>
        <rFont val="Times New Roman"/>
        <family val="1"/>
      </rPr>
      <t>(ABC PAULISTA)</t>
    </r>
  </si>
  <si>
    <t>0109/2020</t>
  </si>
  <si>
    <t>BELO HORIZONTE
GOVERNADOR VALADARES
JUIZ DE FORA
MONTES CLAROS
UBERLÂNDIA</t>
  </si>
  <si>
    <t>0001/2023</t>
  </si>
  <si>
    <t>BAIXADA FLUMINENSE</t>
  </si>
  <si>
    <t>repactuado 2024</t>
  </si>
  <si>
    <t>BELO HORIZONTE</t>
  </si>
  <si>
    <t>JUIZ DE FORA</t>
  </si>
  <si>
    <t>NITERÓI</t>
  </si>
  <si>
    <t>RIO DE JANEIRO</t>
  </si>
  <si>
    <t>VITÓRIA</t>
  </si>
  <si>
    <t>0036/2023</t>
  </si>
  <si>
    <t>AGENTE DE PORTARIA</t>
  </si>
  <si>
    <t>MANUTENÇÃO PREDIAL</t>
  </si>
  <si>
    <t>DETETIZAÇÃO E CONTROLE DE PRAGAS</t>
  </si>
  <si>
    <t>RECARGA DE EXTINTORES</t>
  </si>
  <si>
    <t>CHAVEIRO</t>
  </si>
  <si>
    <t>valor repactuado</t>
  </si>
  <si>
    <t>5000/2025</t>
  </si>
  <si>
    <t>0091/2022</t>
  </si>
  <si>
    <t>1013/2023</t>
  </si>
  <si>
    <t>rescisão</t>
  </si>
  <si>
    <t>0001/2025</t>
  </si>
  <si>
    <t>BAIXADA FLUMINENSE
VOLTA REDONDA</t>
  </si>
  <si>
    <t>solicitado repactuação 2025</t>
  </si>
  <si>
    <t>0009/2023</t>
  </si>
  <si>
    <t>repactuado 2023</t>
  </si>
  <si>
    <t>0029/2023</t>
  </si>
  <si>
    <t>Reajustado 2024</t>
  </si>
  <si>
    <t>0018/2024</t>
  </si>
  <si>
    <t>0046/2022</t>
  </si>
  <si>
    <t>0108/2022</t>
  </si>
  <si>
    <t>0013/2024</t>
  </si>
  <si>
    <t>solicitado reajuste 2025</t>
  </si>
  <si>
    <t>5000/2023</t>
  </si>
  <si>
    <t>CAMPINAS</t>
  </si>
  <si>
    <t>5001/2023</t>
  </si>
  <si>
    <t>0251/2022</t>
  </si>
  <si>
    <t>0014/2024</t>
  </si>
  <si>
    <t>0102/2023</t>
  </si>
  <si>
    <t>5006/2023</t>
  </si>
  <si>
    <t>GOVERNADOR VALADARES</t>
  </si>
  <si>
    <t>5002/2024</t>
  </si>
  <si>
    <t>0065/2024</t>
  </si>
  <si>
    <t>0017/2024</t>
  </si>
  <si>
    <t>0073/2022</t>
  </si>
  <si>
    <t>GUARULHOS</t>
  </si>
  <si>
    <t>0090/2022</t>
  </si>
  <si>
    <t>0019/2022</t>
  </si>
  <si>
    <t>0042/2024</t>
  </si>
  <si>
    <t>0044/2022</t>
  </si>
  <si>
    <t>0075/2024</t>
  </si>
  <si>
    <t>0019/2024</t>
  </si>
  <si>
    <t>0155/2022</t>
  </si>
  <si>
    <t>LINHARES</t>
  </si>
  <si>
    <t>0048/2022</t>
  </si>
  <si>
    <t>0059/2024</t>
  </si>
  <si>
    <t>0053/2024</t>
  </si>
  <si>
    <t>0184/2022</t>
  </si>
  <si>
    <t>MOGI DAS CRUZES</t>
  </si>
  <si>
    <t>0047/2022</t>
  </si>
  <si>
    <t>0115/2022</t>
  </si>
  <si>
    <t>0090/2025</t>
  </si>
  <si>
    <t>5003/2025</t>
  </si>
  <si>
    <t>MONTES CLAROS</t>
  </si>
  <si>
    <t>0164/2022</t>
  </si>
  <si>
    <t>0156/2022</t>
  </si>
  <si>
    <t>0075/2022</t>
  </si>
  <si>
    <t>0070/2024</t>
  </si>
  <si>
    <t>0089/2025</t>
  </si>
  <si>
    <t>0162/2022</t>
  </si>
  <si>
    <t>REGISTRO</t>
  </si>
  <si>
    <t>0043/2022</t>
  </si>
  <si>
    <t>0087/2025</t>
  </si>
  <si>
    <t>0041/2024</t>
  </si>
  <si>
    <t>0153/2022</t>
  </si>
  <si>
    <t>0055/2022</t>
  </si>
  <si>
    <t>SANTOS E SÃO VICENTE</t>
  </si>
  <si>
    <t>0131/2022</t>
  </si>
  <si>
    <t>0169/2021</t>
  </si>
  <si>
    <t>0044/2024</t>
  </si>
  <si>
    <t>0043/2024</t>
  </si>
  <si>
    <t>SÃO BERNARDO DO CAMPO (ABC PAULISTA)</t>
  </si>
  <si>
    <t>5004/2023</t>
  </si>
  <si>
    <t>0107/2022</t>
  </si>
  <si>
    <t>SÃO JOSÉ DOS CAMPOS</t>
  </si>
  <si>
    <t>0051/2022</t>
  </si>
  <si>
    <t>0024/2022</t>
  </si>
  <si>
    <t>0092/2025</t>
  </si>
  <si>
    <t>0046/2023</t>
  </si>
  <si>
    <t>SÃO PAULO</t>
  </si>
  <si>
    <t>Solicitado repactuação 2025</t>
  </si>
  <si>
    <t>0001/2024</t>
  </si>
  <si>
    <t>LOCAÇÃO DE IMÓVEL</t>
  </si>
  <si>
    <t>0089/2022</t>
  </si>
  <si>
    <t>SOROCABA</t>
  </si>
  <si>
    <t>0163/2022</t>
  </si>
  <si>
    <t>0054/2024</t>
  </si>
  <si>
    <t>0093/2025</t>
  </si>
  <si>
    <t>0119/2022</t>
  </si>
  <si>
    <t>UBERLÂNDIA</t>
  </si>
  <si>
    <t>0100/2022</t>
  </si>
  <si>
    <t>0016/2024</t>
  </si>
  <si>
    <t>0074/2024</t>
  </si>
  <si>
    <t>0052/2022</t>
  </si>
  <si>
    <t>0079/2022</t>
  </si>
  <si>
    <t>0007/2023</t>
  </si>
  <si>
    <t>0095/2023</t>
  </si>
  <si>
    <t>0214/2022</t>
  </si>
  <si>
    <t xml:space="preserve">VITÓRIA  </t>
  </si>
  <si>
    <t>0190/2022</t>
  </si>
  <si>
    <t>VOLTA REDONDA</t>
  </si>
  <si>
    <t>0092/2022</t>
  </si>
  <si>
    <t>0026/2023</t>
  </si>
  <si>
    <t>0015/2024</t>
  </si>
  <si>
    <t>0117/2023</t>
  </si>
  <si>
    <t>NACIONAL</t>
  </si>
  <si>
    <t>AGENCIAMENTO DE VIAGENS, que compreende a emissão, remarcação e cancelamento de passagens aéreas nacionais e internacionais, incluindo serviços correlatos de aquisição de franquia de bagagem e cotação para fornecimento de seguro e assistência em viagem internacional.</t>
  </si>
  <si>
    <t>0016/2023</t>
  </si>
  <si>
    <t>Contratação de empresa especializada em serviços de transporte terrestre por aplicativo, para atendimento das necessidades de deslocamento a serviço por servidores e defensores da DPU em âmbito nacional por demanda</t>
  </si>
  <si>
    <t>0010/2022</t>
  </si>
  <si>
    <t>AGENTE DE INTEGRAÇÃO DE ESTÁGIO</t>
  </si>
  <si>
    <t>0058/2023</t>
  </si>
  <si>
    <t>AQUISIÇÃO DE CARIMBOS, PARA ATENDER ÀS DEMANDAS DAS UNIDADES DA DEFENSORIA PÚBLICA DA UNIÃO EM ÂMBITO NACIONAL</t>
  </si>
  <si>
    <t>0083/2023</t>
  </si>
  <si>
    <t>CONTRATAÇÃO DE EMPRESA ESPECIALIZADA NA PRESTAÇÃO DE SERVIÇOS NA ÁREA DE TRANSPORTE RODOVIÁRIO ESTADUAL E INTERESTADUAL DE MOBÍLIAS, BAGAGENS E VOLUMES EM GERAL, ASSIM COMO MOBÍLIAS E BAGAGENS DE SERVIDORES REMOVIDOS</t>
  </si>
  <si>
    <t>0004/2024</t>
  </si>
  <si>
    <t>SERVIÇOS DE APOIO LOGÍSTICO EM EVENTOS, SOB DEMANDA, COMPREENDENDO O PLANEJAMENTO, A ORGANIZAÇÃO, A PROMOÇÃO, A EXECUÇÃO E O ACOMPANHAMENTO DE ORGANIZAÇÃO DE EVENTOS E SERVIÇOS CORRELATOS</t>
  </si>
  <si>
    <t>0076/2024</t>
  </si>
  <si>
    <t>FORNECIMENTO DE DIGITAL OBJECT IDENTIFIER (DOI).</t>
  </si>
  <si>
    <t>0047/2021</t>
  </si>
  <si>
    <t>DISTRIBUIÇÃO DE PUBLICIDADE</t>
  </si>
  <si>
    <t>0033/2023</t>
  </si>
  <si>
    <t>EDITORAÇÃO DE ARTIGOS PARA PUBLICAÇÕES TÉCNICAS E CIENTÍFICAS DAS REVISTAS GERIDAS PELA ESCOLA NACIONAL</t>
  </si>
  <si>
    <t>0070/2023</t>
  </si>
  <si>
    <t>FORNECIMENTO DE LICENÇAS ANUAIS DO SISTEMA WEB GESTÃO TRIBUTÁRIA</t>
  </si>
  <si>
    <t>0039/2023</t>
  </si>
  <si>
    <t>FORNECIMENTO DE PLATAFORMA DE CURSOS DE TECNOLOGIA E NEGÓCIOS DIGITAIS PARA ATENDER ÀS NECESSIDADES DA SECRETARIA DE TECNOLOGIA DA INFORMAÇÃO – STI</t>
  </si>
  <si>
    <t>0221/2022</t>
  </si>
  <si>
    <t>FORNECIMENTO DE SENHA DE ACESSO À
FERRAMENTA DE PESQUISA DE MERCADO E COMPARAÇÃO
DE PREÇOS.</t>
  </si>
  <si>
    <t>0171/2021</t>
  </si>
  <si>
    <t>FORNECIMENTO E DISTRIBUIÇÃO DIÁRIAS DE PERIÓDICOS NAS VERSÕES "DIGITAIS"</t>
  </si>
  <si>
    <t>0248/2022</t>
  </si>
  <si>
    <t>manutenção corretiva, desenvolvimento evolutivo, hospedagem e suporte técnico de 1 (um) software de gestão de patrimônio</t>
  </si>
  <si>
    <t>0128/2021</t>
  </si>
  <si>
    <t>OUTSOURCING – ALMOXARIFADO DIGITAL</t>
  </si>
  <si>
    <t>0129/2021</t>
  </si>
  <si>
    <t>0255/2022</t>
  </si>
  <si>
    <t>SERVIÇO DE CLIPPING</t>
  </si>
  <si>
    <t>0138/2021</t>
  </si>
  <si>
    <t xml:space="preserve">SERVIÇOS DE  CORREIOS </t>
  </si>
  <si>
    <t>0078/2024</t>
  </si>
  <si>
    <t>GERENCIAMENTO, ADMINISTRAÇÃO, CONTROLE E AUTOMATIZAÇÃO DAS OPERAÇÕES DE CONSIGNAÇÃO NO ÂMBITO DA FOLHA DE PAGAMENTOS, COM FORNECIMENTO DE SOLUÇÃO WEB, ACESSÍVEL A PARTIR DE QUALQUER PONTO COM ACESSO À INTERNET E COM DISPONIBILIDADE DE 24 (VINTE QUATRO) HORAS POR 7 (SETE) DIAS, ASSIM COMO DA MARGEM CONSIGNÁVEL DOS SERVIDORES ATIVOS E INATIVOS E DE PENSIONISTAS</t>
  </si>
  <si>
    <t>0059/2025</t>
  </si>
  <si>
    <t xml:space="preserve">SERVIÇO DE SUPORTE TÉCNICO DE FERRAMENTA AUTOMATIZADA DE PLANEJAMENTO ESTRATÉGICO, VISANDO ATENDER À DEMANDA DA ASSESSORIA DE PLANEJAMENTO, ESTRATÉGIA E MODERNIZAÇÃO DA GESTÃO </t>
  </si>
  <si>
    <t>0103/2025</t>
  </si>
  <si>
    <t>ASSINATURA NA PLATAFORMA DIGITAL “FLICKR PRO”, SUPRIR A DEMANDA DA DPU EM BRASÍLIA/DF</t>
  </si>
  <si>
    <t>0008/2025</t>
  </si>
  <si>
    <t xml:space="preserve"> PRESTAÇÃO DE SERVIÇOS DE SEGURO COLETIVO DE ACIDENTES PESSOAIS PARA O PROGRAMA DE RESIDÊNCIA JURÍDICA NO ÂMBITO DA DEFENSORIA PÚBLICA DA UNIÃO.</t>
  </si>
  <si>
    <t>0104/2025</t>
  </si>
  <si>
    <t>EXECUÇÃO DE ATIVIDADES DE ENGENHARIA E ARQUITETURA, COM DEDICAÇÃO EXCLUSIVA DE MÃO DE OBRA. ALÉM DISSO, INCLUI-SE, SOB DEMANDA, A PRESTAÇÃO DE SERVIÇOS DE ASSESSORIA E CONSULTORIA ESPECIALIZADA, A ELABORAÇÃO DE LAUDOS DE AVALIAÇÃO MERCADOLÓGICA DE IMÓVEIS, O FORNECIMENTO DE DIÁRIAS E PASSAGENS, BEM COMO O PAGAMENTO DAS ANOTAÇÕES DE RESPONSABILIDADE TÉCNICA (ART) E DOS REGISTROS DE RESPONSABILIDADE TÉCNICA (RRT) JUNTO AOS RESPECTIVOS CONSELHOS DE CLASSE</t>
  </si>
  <si>
    <t>acréscimo</t>
  </si>
  <si>
    <t>0095/2025</t>
  </si>
  <si>
    <t>PRESTAÇÃO DOS SERVIÇOS DE MAILING JORNALÍSTICO, PARA ATENDER À ASSESSORIA DE COMUNICAÇÃO SOCIAL (ASCOM).</t>
  </si>
  <si>
    <t>0043/2023</t>
  </si>
  <si>
    <t>AGENTE DE PORTARIA 12x36 NOTURNO</t>
  </si>
  <si>
    <t>0042/2023</t>
  </si>
  <si>
    <t>171/2025</t>
  </si>
  <si>
    <t>CONTRATAÇÃO DE EMPRESA ESPECIALIZADA PARA OS SERVIÇOS DE INSPEÇÃO TÉCNICA, MANUTENÇÃO E RECARGA DE EXTINTORES E MANGUEIRAS DE COMBATE A INCÊNDIO, SOB DEMANDA</t>
  </si>
  <si>
    <t>0115/2025</t>
  </si>
  <si>
    <t xml:space="preserve">BRASÍLIA  </t>
  </si>
  <si>
    <t>5008/2025</t>
  </si>
  <si>
    <t>5007/2025</t>
  </si>
  <si>
    <t>0131/2025</t>
  </si>
  <si>
    <t>0146/2025</t>
  </si>
  <si>
    <t xml:space="preserve">CÁCERES  </t>
  </si>
  <si>
    <t>1000/2025</t>
  </si>
  <si>
    <t xml:space="preserve">0107/2025 </t>
  </si>
  <si>
    <t xml:space="preserve">BELÉM </t>
  </si>
  <si>
    <t>MANUTENÇÃO DE ELEVADOR DE PASSAGEIROS – PLATAFORMA ELEVATÓRIA</t>
  </si>
  <si>
    <t>0122/2025</t>
  </si>
  <si>
    <t xml:space="preserve">BOA VISTA  </t>
  </si>
  <si>
    <t>0158/2025</t>
  </si>
  <si>
    <t>0114/2025</t>
  </si>
  <si>
    <t xml:space="preserve">MANAUS </t>
  </si>
  <si>
    <t>5002/2025</t>
  </si>
  <si>
    <t xml:space="preserve">PORTO VELHO </t>
  </si>
  <si>
    <t>116/2025</t>
  </si>
  <si>
    <t>0105/2025</t>
  </si>
  <si>
    <t xml:space="preserve">RIO BRANCO  </t>
  </si>
  <si>
    <t>0144/2025</t>
  </si>
  <si>
    <t>0109/2025</t>
  </si>
  <si>
    <t>CARUARU/PE</t>
  </si>
  <si>
    <t>0129/2025</t>
  </si>
  <si>
    <t>0133/2025</t>
  </si>
  <si>
    <t>0110/2025</t>
  </si>
  <si>
    <t>5005/2025</t>
  </si>
  <si>
    <t>0160/2025</t>
  </si>
  <si>
    <t>0143/2025</t>
  </si>
  <si>
    <t>0157/2025</t>
  </si>
  <si>
    <t>0142/2025</t>
  </si>
  <si>
    <t>0141/2025</t>
  </si>
  <si>
    <t>0156/2025</t>
  </si>
  <si>
    <t>0151/2025</t>
  </si>
  <si>
    <t>0120/2025</t>
  </si>
  <si>
    <t>0117/2025</t>
  </si>
  <si>
    <t>0135/2025</t>
  </si>
  <si>
    <t>BAGÉ
CANOAS
PELOTAS
RIO GRANDE
SANTA MARIA
URUGUAIANA</t>
  </si>
  <si>
    <t>0124/2025</t>
  </si>
  <si>
    <t xml:space="preserve">CASCAVEL </t>
  </si>
  <si>
    <t>VIGILÃNCIA PATRIMONIAL</t>
  </si>
  <si>
    <t>0123/2025</t>
  </si>
  <si>
    <t>0126/2025</t>
  </si>
  <si>
    <t>0113/2025</t>
  </si>
  <si>
    <t>ADEQUAÇÃO E REFORMA DE IMÓVEL</t>
  </si>
  <si>
    <t>0125/2025</t>
  </si>
  <si>
    <t>0127/2025</t>
  </si>
  <si>
    <t>0154/2025</t>
  </si>
  <si>
    <t>1002/2025</t>
  </si>
  <si>
    <t xml:space="preserve">BAIXADA FLUMINENSE </t>
  </si>
  <si>
    <t>7001/2025</t>
  </si>
  <si>
    <t xml:space="preserve">GUARULHOS  </t>
  </si>
  <si>
    <t>COMPARTILHADAO COM M.T.E.</t>
  </si>
  <si>
    <t>0130/2025</t>
  </si>
  <si>
    <t xml:space="preserve">NITERÓI </t>
  </si>
  <si>
    <t>0106/2025</t>
  </si>
  <si>
    <t>SANTOS</t>
  </si>
  <si>
    <t>0118/2025</t>
  </si>
  <si>
    <t>5006/2025</t>
  </si>
  <si>
    <t>SOFTWARE GERENCIADOR DE BIBLIOTECAS ALEXANDRIA ONLINE</t>
  </si>
  <si>
    <t>5009/2025</t>
  </si>
  <si>
    <t xml:space="preserve"> LOCAÇÃO DE PAVILHÕES (STANDS) BRONZE EM ÁREA DE EXPOSIÇÃO DA
GREEN ZONE, DA CONFERÊNCIA DAS NAÇÕES UNIDAS SOBRE MUDANÇAS CLIMÁTICAS DE 2025-COP30, QUE
OCORRERÁ EM BELÉM, NO ESTADO DO PARÁ, DO DIA 10 A 21 DE NOVEMBRO DE 2025</t>
  </si>
  <si>
    <t>0083/2025</t>
  </si>
  <si>
    <t>AUXILIAR ADMINISTRATIVO</t>
  </si>
  <si>
    <t>CUIABÁ
RONDONÓPOLIS</t>
  </si>
  <si>
    <t>0084/2025</t>
  </si>
  <si>
    <t>0014/2025</t>
  </si>
  <si>
    <t>AGENTE DE PORTARIA 12x26 DIURNO</t>
  </si>
  <si>
    <t>0009/2025</t>
  </si>
  <si>
    <t>0174/2021</t>
  </si>
  <si>
    <t>0053/2023</t>
  </si>
  <si>
    <t>0151/2021</t>
  </si>
  <si>
    <t>0022/2020</t>
  </si>
  <si>
    <t>0169/2022</t>
  </si>
  <si>
    <t>0049/2025</t>
  </si>
  <si>
    <t>AGENTE DE PORTARIA 12x36 DIURNO</t>
  </si>
  <si>
    <t>0159/2015</t>
  </si>
  <si>
    <t>Reajustado 2023</t>
  </si>
  <si>
    <t>aumento do valor</t>
  </si>
  <si>
    <t>0047/2025</t>
  </si>
  <si>
    <t>0096/2021</t>
  </si>
  <si>
    <t>0048/2025</t>
  </si>
  <si>
    <t>0130/2013</t>
  </si>
  <si>
    <t>0046/2025</t>
  </si>
  <si>
    <t>0097/2017</t>
  </si>
  <si>
    <t>0052/2025</t>
  </si>
  <si>
    <t>0160/2020</t>
  </si>
  <si>
    <t>0045/2025</t>
  </si>
  <si>
    <t>1001/2025</t>
  </si>
  <si>
    <t>0169/2014</t>
  </si>
  <si>
    <t>0044/2025</t>
  </si>
  <si>
    <t>0131/2013</t>
  </si>
  <si>
    <t>0019/2014</t>
  </si>
  <si>
    <t>0069/2025</t>
  </si>
  <si>
    <t>AGENTE DE PORTARIA 12X36 NOTURNO</t>
  </si>
  <si>
    <t>0064/2025</t>
  </si>
  <si>
    <t>0063/2025</t>
  </si>
  <si>
    <t>0068/2025</t>
  </si>
  <si>
    <t>0067/2025</t>
  </si>
  <si>
    <t>1003/2025</t>
  </si>
  <si>
    <t>AGENTE DE PORTRIA 12X36 NOTURNO</t>
  </si>
  <si>
    <t>0066/2025</t>
  </si>
  <si>
    <t>0049/2016</t>
  </si>
  <si>
    <t>0065/2025</t>
  </si>
  <si>
    <t>AGENTE DE PORTARIA 12X36 DIURNO</t>
  </si>
  <si>
    <t>0067/2015</t>
  </si>
  <si>
    <t>0130/2014</t>
  </si>
  <si>
    <t>0148/2014</t>
  </si>
  <si>
    <t>0129/2013</t>
  </si>
  <si>
    <t>0026/2008</t>
  </si>
  <si>
    <t>0105/2017</t>
  </si>
  <si>
    <t>0138/2019</t>
  </si>
  <si>
    <t>0088/2025</t>
  </si>
  <si>
    <t>0018/2014</t>
  </si>
  <si>
    <t>0088/2009</t>
  </si>
  <si>
    <t>0034/2014</t>
  </si>
  <si>
    <t>0017/2016</t>
  </si>
  <si>
    <t>0245/2022</t>
  </si>
  <si>
    <t>0061/2025</t>
  </si>
  <si>
    <t>0101/2017</t>
  </si>
  <si>
    <t>0144/2016</t>
  </si>
  <si>
    <t>0070/2025</t>
  </si>
  <si>
    <t>0089/2017</t>
  </si>
  <si>
    <t>0082/2025</t>
  </si>
  <si>
    <t>0080/2025</t>
  </si>
  <si>
    <t>valor Inicial</t>
  </si>
  <si>
    <t>0081/2025</t>
  </si>
  <si>
    <t>0047/2012</t>
  </si>
  <si>
    <t>0123/2016</t>
  </si>
  <si>
    <t>0124/2018</t>
  </si>
  <si>
    <t>0020/2016</t>
  </si>
  <si>
    <t>0038/2019</t>
  </si>
  <si>
    <t>supressão</t>
  </si>
  <si>
    <t>0029/2008</t>
  </si>
  <si>
    <t>0009/2014</t>
  </si>
  <si>
    <t>0087/2018</t>
  </si>
  <si>
    <t>0005/2022</t>
  </si>
  <si>
    <t>0146/2011</t>
  </si>
  <si>
    <t>Reajustado 2020</t>
  </si>
  <si>
    <t>0007/2019</t>
  </si>
  <si>
    <t>0046/2014</t>
  </si>
  <si>
    <t>0073/2014</t>
  </si>
  <si>
    <t>0075/2025</t>
  </si>
  <si>
    <t>AGENTE DE PORTARIA 44H</t>
  </si>
  <si>
    <t>Solicitação repactuação 2025</t>
  </si>
  <si>
    <t>0076/2025</t>
  </si>
  <si>
    <t>0074/2025</t>
  </si>
  <si>
    <t>0073/2025</t>
  </si>
  <si>
    <t>RIBEIRÃO PRETO</t>
  </si>
  <si>
    <t>0097/2016</t>
  </si>
  <si>
    <t>redução</t>
  </si>
  <si>
    <t>0081/2014</t>
  </si>
  <si>
    <t>0080/2014</t>
  </si>
  <si>
    <t>0168/2022</t>
  </si>
  <si>
    <t>0062/2023</t>
  </si>
  <si>
    <t>0087/2010</t>
  </si>
  <si>
    <t>Repactuado 2022</t>
  </si>
  <si>
    <t>0029/2014</t>
  </si>
  <si>
    <t>0101/2016</t>
  </si>
  <si>
    <t>0036/2016</t>
  </si>
  <si>
    <t>0087/2024</t>
  </si>
  <si>
    <t>0116/2015</t>
  </si>
  <si>
    <t>0104/2016</t>
  </si>
  <si>
    <t>0013/2020</t>
  </si>
  <si>
    <t xml:space="preserve">LOCAÇÃO DE IMÓVEL </t>
  </si>
  <si>
    <t>0205/2022</t>
  </si>
  <si>
    <t>0071/2015</t>
  </si>
  <si>
    <t>0079/2015</t>
  </si>
  <si>
    <t>0149/2011</t>
  </si>
  <si>
    <t>0084/2013</t>
  </si>
  <si>
    <t>0009/2017</t>
  </si>
  <si>
    <t>0109/2017</t>
  </si>
  <si>
    <t xml:space="preserve">SÃO PAULO </t>
  </si>
  <si>
    <t>LOCAÇÃO DE IMÓVEL
COMPARTILHADO COM INMETRO</t>
  </si>
  <si>
    <t>0067/2019</t>
  </si>
  <si>
    <t>LOCAÇÃO DE IMÓVEL
COMPARTILHADAO COM M.T.E.</t>
  </si>
  <si>
    <t>0236/2022</t>
  </si>
  <si>
    <t xml:space="preserve">RIO DE JANEIRO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</si>
</sst>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164" formatCode="&quot;R$&quot;\ #,##0.00"/>
  </numFmts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b/>
      <sz val="8"/>
      <color rgb="FF00000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b/>
      <sz val="9"/>
      <color rgb="FFFF0000"/>
      <name val="Times New Roman"/>
      <family val="1"/>
    </font>
    <font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charset val="1"/>
    </font>
    <font>
      <sz val="12"/>
      <color rgb="FF000000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1"/>
      <color rgb="FF000000"/>
      <name val="Times New Roman"/>
      <charset val="1"/>
    </font>
    <font>
      <sz val="12"/>
      <color rgb="FF000000"/>
      <name val="Times New Roman"/>
      <charset val="1"/>
    </font>
    <font>
      <b/>
      <sz val="12"/>
      <color rgb="FF000000"/>
      <name val="Times New Roman"/>
      <charset val="1"/>
    </font>
    <font>
      <b/>
      <sz val="13.5"/>
      <color rgb="FF000000"/>
      <name val="Times New Roman"/>
      <charset val="1"/>
    </font>
    <font>
      <b/>
      <sz val="10"/>
      <color rgb="FF000000"/>
      <name val="Times New Roman"/>
      <charset val="1"/>
    </font>
    <font>
      <b/>
      <sz val="11"/>
      <color rgb="FF000000"/>
      <name val="Times Roman"/>
      <charset val="1"/>
    </font>
    <font>
      <sz val="9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9"/>
      <name val="Times New Roman"/>
      <family val="1"/>
    </font>
    <font>
      <u/>
      <sz val="11"/>
      <color theme="1"/>
      <name val="Calibri"/>
      <family val="2"/>
      <scheme val="minor"/>
    </font>
    <font>
      <b/>
      <sz val="11"/>
      <color rgb="FFE74C3C"/>
      <name val="Times New Roman"/>
      <charset val="1"/>
    </font>
    <font>
      <b/>
      <sz val="11"/>
      <color rgb="FF000000"/>
      <name val="Times New Roman"/>
      <family val="1"/>
      <charset val="1"/>
    </font>
    <font>
      <b/>
      <u/>
      <sz val="12"/>
      <color rgb="FF000000"/>
      <name val="Times New Roman"/>
      <charset val="1"/>
    </font>
    <font>
      <sz val="13.5"/>
      <color rgb="FF000000"/>
      <name val="Times New Roman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83">
    <xf numFmtId="0" fontId="0" fillId="0" borderId="0" xfId="0"/>
    <xf numFmtId="0" fontId="1" fillId="0" borderId="3" xfId="0" applyFont="1" applyBorder="1" applyAlignment="1">
      <alignment horizontal="center" vertical="top"/>
    </xf>
    <xf numFmtId="0" fontId="4" fillId="0" borderId="1" xfId="1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0" borderId="0" xfId="0" applyNumberFormat="1"/>
    <xf numFmtId="0" fontId="4" fillId="0" borderId="4" xfId="0" applyFont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4" fontId="8" fillId="0" borderId="0" xfId="0" applyNumberFormat="1" applyFont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9" fillId="2" borderId="5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0" fontId="4" fillId="3" borderId="5" xfId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 wrapText="1"/>
    </xf>
    <xf numFmtId="0" fontId="4" fillId="2" borderId="6" xfId="1" applyFont="1" applyFill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" xfId="1" applyFont="1" applyFill="1" applyBorder="1" applyAlignment="1">
      <alignment horizontal="center" vertical="center" wrapText="1"/>
    </xf>
    <xf numFmtId="0" fontId="4" fillId="0" borderId="5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center" vertical="center" wrapText="1"/>
      <protection locked="0"/>
    </xf>
    <xf numFmtId="49" fontId="4" fillId="0" borderId="1" xfId="0" applyNumberFormat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 wrapText="1"/>
    </xf>
    <xf numFmtId="4" fontId="12" fillId="0" borderId="0" xfId="0" applyNumberFormat="1" applyFont="1"/>
    <xf numFmtId="4" fontId="13" fillId="0" borderId="0" xfId="0" applyNumberFormat="1" applyFont="1"/>
    <xf numFmtId="4" fontId="14" fillId="0" borderId="0" xfId="0" applyNumberFormat="1" applyFont="1"/>
    <xf numFmtId="164" fontId="15" fillId="0" borderId="5" xfId="0" applyNumberFormat="1" applyFont="1" applyBorder="1" applyAlignment="1">
      <alignment horizontal="center" vertical="center"/>
    </xf>
    <xf numFmtId="164" fontId="15" fillId="0" borderId="5" xfId="1" applyNumberFormat="1" applyFont="1" applyBorder="1" applyAlignment="1">
      <alignment horizontal="center" vertical="center" wrapText="1"/>
    </xf>
    <xf numFmtId="164" fontId="15" fillId="2" borderId="5" xfId="0" applyNumberFormat="1" applyFont="1" applyFill="1" applyBorder="1" applyAlignment="1">
      <alignment horizontal="center" vertical="center"/>
    </xf>
    <xf numFmtId="4" fontId="16" fillId="0" borderId="0" xfId="0" applyNumberFormat="1" applyFont="1"/>
    <xf numFmtId="4" fontId="17" fillId="0" borderId="0" xfId="0" applyNumberFormat="1" applyFont="1"/>
    <xf numFmtId="4" fontId="18" fillId="0" borderId="0" xfId="0" applyNumberFormat="1" applyFont="1"/>
    <xf numFmtId="4" fontId="19" fillId="0" borderId="0" xfId="0" applyNumberFormat="1" applyFont="1"/>
    <xf numFmtId="4" fontId="20" fillId="0" borderId="0" xfId="0" applyNumberFormat="1" applyFont="1"/>
    <xf numFmtId="4" fontId="21" fillId="0" borderId="0" xfId="0" applyNumberFormat="1" applyFont="1"/>
    <xf numFmtId="4" fontId="22" fillId="0" borderId="0" xfId="0" applyNumberFormat="1" applyFont="1"/>
    <xf numFmtId="4" fontId="23" fillId="0" borderId="0" xfId="0" applyNumberFormat="1" applyFont="1"/>
    <xf numFmtId="4" fontId="24" fillId="0" borderId="0" xfId="0" applyNumberFormat="1" applyFont="1"/>
    <xf numFmtId="0" fontId="22" fillId="0" borderId="0" xfId="0" applyFont="1"/>
    <xf numFmtId="0" fontId="17" fillId="0" borderId="0" xfId="0" applyFont="1"/>
    <xf numFmtId="4" fontId="25" fillId="0" borderId="0" xfId="0" applyNumberFormat="1" applyFont="1"/>
    <xf numFmtId="8" fontId="15" fillId="0" borderId="5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6" fillId="0" borderId="0" xfId="0" applyFont="1"/>
    <xf numFmtId="4" fontId="27" fillId="0" borderId="0" xfId="0" applyNumberFormat="1" applyFont="1"/>
    <xf numFmtId="164" fontId="28" fillId="0" borderId="5" xfId="0" applyNumberFormat="1" applyFont="1" applyBorder="1" applyAlignment="1">
      <alignment horizontal="center" vertical="center"/>
    </xf>
    <xf numFmtId="0" fontId="18" fillId="0" borderId="0" xfId="0" applyFont="1"/>
    <xf numFmtId="164" fontId="15" fillId="2" borderId="5" xfId="1" applyNumberFormat="1" applyFont="1" applyFill="1" applyBorder="1" applyAlignment="1">
      <alignment horizontal="center" vertical="center" wrapText="1"/>
    </xf>
    <xf numFmtId="8" fontId="15" fillId="0" borderId="5" xfId="0" applyNumberFormat="1" applyFont="1" applyBorder="1" applyAlignment="1">
      <alignment horizontal="center" vertical="center" wrapText="1"/>
    </xf>
    <xf numFmtId="164" fontId="28" fillId="0" borderId="5" xfId="1" applyNumberFormat="1" applyFont="1" applyBorder="1" applyAlignment="1">
      <alignment horizontal="center" vertical="center" wrapText="1"/>
    </xf>
    <xf numFmtId="0" fontId="10" fillId="0" borderId="0" xfId="0" applyFont="1"/>
    <xf numFmtId="164" fontId="0" fillId="0" borderId="0" xfId="0" applyNumberFormat="1"/>
    <xf numFmtId="164" fontId="15" fillId="0" borderId="9" xfId="1" applyNumberFormat="1" applyFont="1" applyBorder="1" applyAlignment="1">
      <alignment horizontal="center" vertical="center" wrapText="1"/>
    </xf>
    <xf numFmtId="0" fontId="29" fillId="0" borderId="0" xfId="0" applyFont="1"/>
    <xf numFmtId="0" fontId="20" fillId="0" borderId="0" xfId="0" applyFont="1"/>
    <xf numFmtId="4" fontId="30" fillId="0" borderId="0" xfId="0" applyNumberFormat="1" applyFont="1"/>
    <xf numFmtId="4" fontId="0" fillId="0" borderId="0" xfId="0" applyNumberFormat="1"/>
    <xf numFmtId="4" fontId="31" fillId="0" borderId="0" xfId="0" applyNumberFormat="1" applyFont="1"/>
    <xf numFmtId="4" fontId="32" fillId="0" borderId="0" xfId="0" applyNumberFormat="1" applyFont="1"/>
    <xf numFmtId="0" fontId="10" fillId="0" borderId="10" xfId="0" applyFont="1" applyBorder="1" applyAlignment="1">
      <alignment horizontal="center" vertical="center" wrapText="1"/>
    </xf>
    <xf numFmtId="4" fontId="33" fillId="0" borderId="0" xfId="0" applyNumberFormat="1" applyFont="1"/>
  </cellXfs>
  <cellStyles count="2">
    <cellStyle name="Normal" xfId="0" builtinId="0"/>
    <cellStyle name="Normal_Planilha1" xfId="1" xr:uid="{69AC0CA7-1DDD-4B79-B1B8-7DAFBD243DEF}"/>
  </cellStyles>
  <dxfs count="2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61"/>
  <sheetViews>
    <sheetView tabSelected="1" topLeftCell="A573" zoomScale="80" zoomScaleNormal="80" workbookViewId="0">
      <selection activeCell="G586" sqref="G586"/>
    </sheetView>
  </sheetViews>
  <sheetFormatPr defaultRowHeight="15"/>
  <cols>
    <col min="1" max="1" width="15.42578125" customWidth="1"/>
    <col min="2" max="2" width="26.85546875" customWidth="1"/>
    <col min="3" max="4" width="35.7109375" customWidth="1"/>
    <col min="5" max="5" width="25.28515625" customWidth="1"/>
    <col min="6" max="6" width="20.85546875" customWidth="1"/>
    <col min="7" max="7" width="26.42578125" customWidth="1"/>
    <col min="8" max="8" width="24.28515625" customWidth="1"/>
    <col min="9" max="9" width="25.28515625" customWidth="1"/>
    <col min="11" max="13" width="14.28515625" bestFit="1" customWidth="1"/>
    <col min="14" max="15" width="15.2851562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8.75">
      <c r="A2" s="7" t="s">
        <v>9</v>
      </c>
      <c r="B2" s="8" t="s">
        <v>10</v>
      </c>
      <c r="C2" s="9" t="s">
        <v>11</v>
      </c>
      <c r="D2" s="10"/>
      <c r="E2" s="11">
        <v>45658</v>
      </c>
      <c r="F2" s="12">
        <v>377702.01</v>
      </c>
      <c r="G2" s="10" t="s">
        <v>12</v>
      </c>
      <c r="H2" s="10"/>
      <c r="I2" s="10"/>
    </row>
    <row r="3" spans="1:9" ht="78.75">
      <c r="A3" s="7" t="s">
        <v>9</v>
      </c>
      <c r="B3" s="8" t="s">
        <v>10</v>
      </c>
      <c r="C3" s="9" t="s">
        <v>13</v>
      </c>
      <c r="D3" s="10"/>
      <c r="E3" s="11">
        <v>45658</v>
      </c>
      <c r="F3" s="10">
        <f>264000/12</f>
        <v>22000</v>
      </c>
      <c r="G3" s="10" t="s">
        <v>12</v>
      </c>
      <c r="H3" s="10"/>
      <c r="I3" s="10"/>
    </row>
    <row r="4" spans="1:9" ht="78.75">
      <c r="A4" s="7" t="s">
        <v>9</v>
      </c>
      <c r="B4" s="8" t="s">
        <v>10</v>
      </c>
      <c r="C4" s="9" t="s">
        <v>11</v>
      </c>
      <c r="D4" s="11">
        <v>45665</v>
      </c>
      <c r="E4" s="10"/>
      <c r="F4" s="10"/>
      <c r="G4" s="10" t="s">
        <v>14</v>
      </c>
      <c r="H4" s="10"/>
      <c r="I4" s="10"/>
    </row>
    <row r="5" spans="1:9">
      <c r="A5" s="13" t="s">
        <v>15</v>
      </c>
      <c r="B5" s="14" t="s">
        <v>10</v>
      </c>
      <c r="C5" s="2" t="s">
        <v>16</v>
      </c>
      <c r="E5" s="4">
        <v>45658</v>
      </c>
      <c r="F5" s="45">
        <f>16046.57+72222.75</f>
        <v>88269.32</v>
      </c>
      <c r="G5" s="10" t="s">
        <v>17</v>
      </c>
      <c r="H5" s="45"/>
    </row>
    <row r="6" spans="1:9">
      <c r="A6" s="13" t="s">
        <v>15</v>
      </c>
      <c r="B6" s="14" t="s">
        <v>18</v>
      </c>
      <c r="C6" s="2" t="s">
        <v>16</v>
      </c>
      <c r="E6" s="4">
        <v>45658</v>
      </c>
      <c r="F6" s="45">
        <v>10102.09</v>
      </c>
      <c r="G6" s="10" t="s">
        <v>17</v>
      </c>
    </row>
    <row r="7" spans="1:9">
      <c r="A7" s="13" t="s">
        <v>15</v>
      </c>
      <c r="B7" s="14" t="s">
        <v>19</v>
      </c>
      <c r="C7" s="2" t="s">
        <v>16</v>
      </c>
      <c r="E7" s="4">
        <v>45658</v>
      </c>
      <c r="F7" s="45">
        <v>12300.84</v>
      </c>
      <c r="G7" s="10" t="s">
        <v>17</v>
      </c>
    </row>
    <row r="8" spans="1:9">
      <c r="A8" s="13" t="s">
        <v>15</v>
      </c>
      <c r="B8" s="14" t="s">
        <v>20</v>
      </c>
      <c r="C8" s="2" t="s">
        <v>16</v>
      </c>
      <c r="E8" s="4">
        <v>45658</v>
      </c>
      <c r="F8" s="45">
        <v>12333.38</v>
      </c>
      <c r="G8" s="10" t="s">
        <v>17</v>
      </c>
    </row>
    <row r="9" spans="1:9" ht="24">
      <c r="A9" s="13" t="s">
        <v>21</v>
      </c>
      <c r="B9" s="14" t="s">
        <v>10</v>
      </c>
      <c r="C9" s="2" t="s">
        <v>22</v>
      </c>
      <c r="E9" s="4">
        <v>45658</v>
      </c>
      <c r="F9" s="49">
        <v>40360.620000000003</v>
      </c>
      <c r="G9" s="10" t="s">
        <v>12</v>
      </c>
    </row>
    <row r="10" spans="1:9" ht="15.75">
      <c r="A10" s="15" t="s">
        <v>23</v>
      </c>
      <c r="B10" s="16" t="s">
        <v>10</v>
      </c>
      <c r="C10" s="17" t="s">
        <v>24</v>
      </c>
      <c r="E10" s="4">
        <v>45658</v>
      </c>
      <c r="F10" s="46">
        <v>12745.1</v>
      </c>
      <c r="G10" s="10" t="s">
        <v>17</v>
      </c>
    </row>
    <row r="11" spans="1:9" ht="24">
      <c r="A11" s="13" t="s">
        <v>25</v>
      </c>
      <c r="B11" s="6" t="s">
        <v>10</v>
      </c>
      <c r="C11" s="18" t="s">
        <v>26</v>
      </c>
      <c r="E11" s="4">
        <v>45658</v>
      </c>
      <c r="F11" s="45">
        <v>43944.05</v>
      </c>
      <c r="G11" s="10" t="s">
        <v>17</v>
      </c>
    </row>
    <row r="12" spans="1:9" ht="18.75">
      <c r="A12" s="13" t="s">
        <v>27</v>
      </c>
      <c r="B12" s="14" t="s">
        <v>10</v>
      </c>
      <c r="C12" s="2" t="s">
        <v>28</v>
      </c>
      <c r="E12" s="4">
        <v>45658</v>
      </c>
      <c r="F12" s="47">
        <v>9641.9500000000007</v>
      </c>
      <c r="G12" s="10" t="s">
        <v>17</v>
      </c>
    </row>
    <row r="13" spans="1:9" ht="15.75">
      <c r="A13" s="13" t="s">
        <v>29</v>
      </c>
      <c r="B13" s="14" t="s">
        <v>10</v>
      </c>
      <c r="C13" s="2" t="s">
        <v>30</v>
      </c>
      <c r="E13" s="4">
        <v>45658</v>
      </c>
      <c r="F13" s="46">
        <v>19298.740000000002</v>
      </c>
      <c r="G13" s="10" t="s">
        <v>17</v>
      </c>
    </row>
    <row r="14" spans="1:9">
      <c r="A14" s="13" t="s">
        <v>31</v>
      </c>
      <c r="B14" s="14" t="s">
        <v>19</v>
      </c>
      <c r="C14" s="2" t="s">
        <v>32</v>
      </c>
      <c r="E14" s="4">
        <v>45658</v>
      </c>
      <c r="F14" s="48">
        <v>378.43</v>
      </c>
      <c r="G14" s="10" t="s">
        <v>12</v>
      </c>
    </row>
    <row r="15" spans="1:9" ht="24">
      <c r="A15" s="13" t="s">
        <v>33</v>
      </c>
      <c r="B15" s="14" t="s">
        <v>19</v>
      </c>
      <c r="C15" s="2" t="s">
        <v>22</v>
      </c>
      <c r="E15" s="4">
        <v>45658</v>
      </c>
      <c r="F15" s="48">
        <v>10766.21</v>
      </c>
      <c r="G15" s="10" t="s">
        <v>12</v>
      </c>
    </row>
    <row r="16" spans="1:9" ht="24">
      <c r="A16" s="13" t="s">
        <v>34</v>
      </c>
      <c r="B16" s="14" t="s">
        <v>18</v>
      </c>
      <c r="C16" s="2" t="s">
        <v>35</v>
      </c>
      <c r="E16" s="4">
        <v>45658</v>
      </c>
      <c r="F16" s="50">
        <v>56.237499999999997</v>
      </c>
      <c r="G16" s="10" t="s">
        <v>12</v>
      </c>
    </row>
    <row r="17" spans="1:7" ht="24">
      <c r="A17" s="13" t="s">
        <v>36</v>
      </c>
      <c r="B17" s="14" t="s">
        <v>18</v>
      </c>
      <c r="C17" s="14" t="s">
        <v>22</v>
      </c>
      <c r="E17" s="4">
        <v>45658</v>
      </c>
      <c r="F17" s="50">
        <v>6139.15</v>
      </c>
      <c r="G17" s="10" t="s">
        <v>12</v>
      </c>
    </row>
    <row r="18" spans="1:7">
      <c r="A18" s="15" t="s">
        <v>37</v>
      </c>
      <c r="B18" s="16" t="s">
        <v>18</v>
      </c>
      <c r="C18" s="19" t="s">
        <v>38</v>
      </c>
      <c r="E18" s="4">
        <v>45658</v>
      </c>
      <c r="F18" s="51">
        <v>4841.3500000000004</v>
      </c>
      <c r="G18" s="10" t="s">
        <v>17</v>
      </c>
    </row>
    <row r="19" spans="1:7">
      <c r="A19" s="13" t="s">
        <v>39</v>
      </c>
      <c r="B19" s="14" t="s">
        <v>18</v>
      </c>
      <c r="C19" s="18" t="s">
        <v>40</v>
      </c>
      <c r="E19" s="4">
        <v>45658</v>
      </c>
      <c r="F19">
        <f>56410/12</f>
        <v>4700.833333333333</v>
      </c>
      <c r="G19" s="10" t="s">
        <v>12</v>
      </c>
    </row>
    <row r="20" spans="1:7">
      <c r="A20" s="13" t="s">
        <v>41</v>
      </c>
      <c r="B20" s="14" t="s">
        <v>20</v>
      </c>
      <c r="C20" s="2" t="s">
        <v>32</v>
      </c>
      <c r="E20" s="4">
        <v>45658</v>
      </c>
      <c r="F20" s="49">
        <v>323.77999999999997</v>
      </c>
      <c r="G20" s="10" t="s">
        <v>12</v>
      </c>
    </row>
    <row r="21" spans="1:7" ht="21.75">
      <c r="A21" s="13" t="s">
        <v>42</v>
      </c>
      <c r="B21" s="14" t="s">
        <v>20</v>
      </c>
      <c r="C21" s="2" t="s">
        <v>22</v>
      </c>
      <c r="E21" s="4">
        <v>45658</v>
      </c>
      <c r="F21" s="49">
        <v>15059.57</v>
      </c>
      <c r="G21" s="10" t="s">
        <v>12</v>
      </c>
    </row>
    <row r="22" spans="1:7" ht="24">
      <c r="A22" s="13" t="s">
        <v>43</v>
      </c>
      <c r="B22" s="14" t="s">
        <v>20</v>
      </c>
      <c r="C22" s="2" t="s">
        <v>44</v>
      </c>
      <c r="E22" s="4">
        <v>45658</v>
      </c>
      <c r="F22" s="46">
        <v>10546.86</v>
      </c>
      <c r="G22" s="10" t="s">
        <v>17</v>
      </c>
    </row>
    <row r="23" spans="1:7" ht="14.25">
      <c r="A23" s="13" t="s">
        <v>45</v>
      </c>
      <c r="B23" s="14" t="s">
        <v>46</v>
      </c>
      <c r="C23" s="18" t="s">
        <v>32</v>
      </c>
      <c r="E23" s="4">
        <v>45658</v>
      </c>
      <c r="F23" s="49">
        <v>383.01</v>
      </c>
      <c r="G23" s="10" t="s">
        <v>12</v>
      </c>
    </row>
    <row r="24" spans="1:7" ht="21.75">
      <c r="A24" s="13" t="s">
        <v>47</v>
      </c>
      <c r="B24" s="14" t="s">
        <v>46</v>
      </c>
      <c r="C24" s="18" t="s">
        <v>22</v>
      </c>
      <c r="E24" s="4">
        <v>45658</v>
      </c>
      <c r="F24" s="49">
        <v>5942.4033333333</v>
      </c>
      <c r="G24" s="10" t="s">
        <v>12</v>
      </c>
    </row>
    <row r="25" spans="1:7">
      <c r="A25" s="13" t="s">
        <v>48</v>
      </c>
      <c r="B25" s="6" t="s">
        <v>46</v>
      </c>
      <c r="C25" s="2" t="s">
        <v>38</v>
      </c>
      <c r="E25" s="4">
        <v>45658</v>
      </c>
      <c r="F25" s="45">
        <v>4275.0200000000004</v>
      </c>
      <c r="G25" s="10" t="s">
        <v>12</v>
      </c>
    </row>
    <row r="26" spans="1:7">
      <c r="A26" s="13" t="s">
        <v>49</v>
      </c>
      <c r="B26" s="14" t="s">
        <v>46</v>
      </c>
      <c r="C26" s="6" t="s">
        <v>40</v>
      </c>
      <c r="E26" s="4">
        <v>45658</v>
      </c>
      <c r="F26">
        <f>17068/12</f>
        <v>1422.3333333333333</v>
      </c>
      <c r="G26" s="10" t="s">
        <v>12</v>
      </c>
    </row>
    <row r="27" spans="1:7">
      <c r="A27" s="13" t="s">
        <v>50</v>
      </c>
      <c r="B27" s="14" t="s">
        <v>51</v>
      </c>
      <c r="C27" s="18" t="s">
        <v>40</v>
      </c>
      <c r="E27" s="4">
        <v>45658</v>
      </c>
      <c r="F27">
        <f>32369.88/12</f>
        <v>2697.4900000000002</v>
      </c>
      <c r="G27" s="10" t="s">
        <v>12</v>
      </c>
    </row>
    <row r="28" spans="1:7">
      <c r="A28" s="13" t="s">
        <v>50</v>
      </c>
      <c r="B28" s="14" t="s">
        <v>51</v>
      </c>
      <c r="C28" s="18" t="s">
        <v>40</v>
      </c>
      <c r="E28" s="4">
        <v>45818</v>
      </c>
      <c r="F28">
        <f>34091.84/12</f>
        <v>2840.9866666666662</v>
      </c>
      <c r="G28" s="10" t="s">
        <v>52</v>
      </c>
    </row>
    <row r="29" spans="1:7">
      <c r="A29" s="13" t="s">
        <v>53</v>
      </c>
      <c r="B29" s="14" t="s">
        <v>51</v>
      </c>
      <c r="C29" s="2" t="s">
        <v>30</v>
      </c>
      <c r="E29" s="4">
        <v>45658</v>
      </c>
      <c r="F29">
        <v>6467.33</v>
      </c>
      <c r="G29" s="10" t="s">
        <v>12</v>
      </c>
    </row>
    <row r="30" spans="1:7">
      <c r="A30" s="13" t="s">
        <v>53</v>
      </c>
      <c r="B30" s="14" t="s">
        <v>51</v>
      </c>
      <c r="C30" s="2" t="s">
        <v>30</v>
      </c>
      <c r="E30" s="4">
        <v>45788</v>
      </c>
      <c r="F30">
        <v>6492.15</v>
      </c>
      <c r="G30" s="10" t="s">
        <v>17</v>
      </c>
    </row>
    <row r="31" spans="1:7" ht="32.25">
      <c r="A31" s="14" t="s">
        <v>54</v>
      </c>
      <c r="B31" s="14" t="s">
        <v>55</v>
      </c>
      <c r="C31" s="14" t="s">
        <v>56</v>
      </c>
      <c r="E31" s="4">
        <v>45658</v>
      </c>
      <c r="F31">
        <v>29699.61</v>
      </c>
      <c r="G31" s="10" t="s">
        <v>17</v>
      </c>
    </row>
    <row r="32" spans="1:7">
      <c r="A32" s="13" t="s">
        <v>57</v>
      </c>
      <c r="B32" s="14" t="s">
        <v>58</v>
      </c>
      <c r="C32" s="14" t="s">
        <v>16</v>
      </c>
      <c r="E32" s="4">
        <v>45658</v>
      </c>
      <c r="F32">
        <f>10186.55+3*(8496.9/30)</f>
        <v>11036.24</v>
      </c>
      <c r="G32" s="10" t="s">
        <v>12</v>
      </c>
    </row>
    <row r="33" spans="1:7">
      <c r="A33" s="13" t="s">
        <v>57</v>
      </c>
      <c r="B33" s="14" t="s">
        <v>59</v>
      </c>
      <c r="C33" s="14" t="s">
        <v>16</v>
      </c>
      <c r="E33" s="4">
        <v>45658</v>
      </c>
      <c r="F33">
        <f>10796.13+3*(5859.9/30)</f>
        <v>11382.119999999999</v>
      </c>
      <c r="G33" s="10" t="s">
        <v>12</v>
      </c>
    </row>
    <row r="34" spans="1:7">
      <c r="A34" s="13" t="s">
        <v>57</v>
      </c>
      <c r="B34" s="14" t="s">
        <v>60</v>
      </c>
      <c r="C34" s="14" t="s">
        <v>16</v>
      </c>
      <c r="E34" s="4">
        <v>45658</v>
      </c>
      <c r="F34">
        <f>10205.23+3*(6201.9/30)</f>
        <v>10825.42</v>
      </c>
      <c r="G34" s="10" t="s">
        <v>12</v>
      </c>
    </row>
    <row r="35" spans="1:7">
      <c r="A35" s="13" t="s">
        <v>57</v>
      </c>
      <c r="B35" s="14" t="s">
        <v>61</v>
      </c>
      <c r="C35" s="14" t="s">
        <v>16</v>
      </c>
      <c r="E35" s="4">
        <v>45658</v>
      </c>
      <c r="F35">
        <f>10651.98+3*(9766.8/30)</f>
        <v>11628.66</v>
      </c>
      <c r="G35" s="10" t="s">
        <v>12</v>
      </c>
    </row>
    <row r="36" spans="1:7">
      <c r="A36" s="13" t="s">
        <v>57</v>
      </c>
      <c r="B36" s="14" t="s">
        <v>62</v>
      </c>
      <c r="C36" s="14" t="s">
        <v>16</v>
      </c>
      <c r="E36" s="4">
        <v>45658</v>
      </c>
      <c r="F36">
        <f>10180+3*(27622.8/30)</f>
        <v>12942.279999999999</v>
      </c>
      <c r="G36" s="10" t="s">
        <v>12</v>
      </c>
    </row>
    <row r="37" spans="1:7">
      <c r="A37" s="13" t="s">
        <v>57</v>
      </c>
      <c r="B37" s="14" t="s">
        <v>58</v>
      </c>
      <c r="C37" s="14" t="s">
        <v>16</v>
      </c>
      <c r="E37" s="4">
        <v>45740</v>
      </c>
      <c r="F37">
        <f>10186.55+3*(8496.9/30)</f>
        <v>11036.24</v>
      </c>
      <c r="G37" s="10" t="s">
        <v>63</v>
      </c>
    </row>
    <row r="38" spans="1:7">
      <c r="A38" s="13" t="s">
        <v>57</v>
      </c>
      <c r="B38" s="14" t="s">
        <v>59</v>
      </c>
      <c r="C38" s="14" t="s">
        <v>16</v>
      </c>
      <c r="E38" s="4">
        <v>45740</v>
      </c>
      <c r="F38">
        <f>10796.13+3*(5859.9/30)</f>
        <v>11382.119999999999</v>
      </c>
      <c r="G38" s="10" t="s">
        <v>63</v>
      </c>
    </row>
    <row r="39" spans="1:7">
      <c r="A39" s="13" t="s">
        <v>57</v>
      </c>
      <c r="B39" s="14" t="s">
        <v>60</v>
      </c>
      <c r="C39" s="14" t="s">
        <v>16</v>
      </c>
      <c r="E39" s="4">
        <v>45740</v>
      </c>
      <c r="F39">
        <f>10205.23+3*(6201.9/30)</f>
        <v>10825.42</v>
      </c>
      <c r="G39" s="10" t="s">
        <v>63</v>
      </c>
    </row>
    <row r="40" spans="1:7">
      <c r="A40" s="13" t="s">
        <v>57</v>
      </c>
      <c r="B40" s="14" t="s">
        <v>61</v>
      </c>
      <c r="C40" s="14" t="s">
        <v>16</v>
      </c>
      <c r="E40" s="4">
        <v>45740</v>
      </c>
      <c r="F40">
        <f>10662.01+3*(9766.8/30)</f>
        <v>11638.69</v>
      </c>
      <c r="G40" s="10" t="s">
        <v>63</v>
      </c>
    </row>
    <row r="41" spans="1:7">
      <c r="A41" s="13" t="s">
        <v>57</v>
      </c>
      <c r="B41" s="14" t="s">
        <v>62</v>
      </c>
      <c r="C41" s="14" t="s">
        <v>16</v>
      </c>
      <c r="E41" s="4">
        <v>45740</v>
      </c>
      <c r="F41">
        <f>10180+3*(27622.8/30)</f>
        <v>12942.279999999999</v>
      </c>
      <c r="G41" s="10" t="s">
        <v>63</v>
      </c>
    </row>
    <row r="42" spans="1:7">
      <c r="A42" s="13" t="s">
        <v>57</v>
      </c>
      <c r="B42" s="14" t="s">
        <v>58</v>
      </c>
      <c r="C42" s="14" t="s">
        <v>16</v>
      </c>
      <c r="E42" s="4">
        <v>45778</v>
      </c>
      <c r="F42">
        <f>10486.18+3*(9766.8/30)</f>
        <v>11462.86</v>
      </c>
      <c r="G42" s="10" t="s">
        <v>63</v>
      </c>
    </row>
    <row r="43" spans="1:7">
      <c r="A43" s="13" t="s">
        <v>57</v>
      </c>
      <c r="B43" s="14" t="s">
        <v>59</v>
      </c>
      <c r="C43" s="14" t="s">
        <v>16</v>
      </c>
      <c r="E43" s="4">
        <v>45778</v>
      </c>
      <c r="F43">
        <f>10796.13+3*(5859.9/30)</f>
        <v>11382.119999999999</v>
      </c>
      <c r="G43" s="10" t="s">
        <v>63</v>
      </c>
    </row>
    <row r="44" spans="1:7">
      <c r="A44" s="13" t="s">
        <v>57</v>
      </c>
      <c r="B44" s="14" t="s">
        <v>60</v>
      </c>
      <c r="C44" s="14" t="s">
        <v>16</v>
      </c>
      <c r="E44" s="4">
        <v>45778</v>
      </c>
      <c r="F44">
        <f>10415.6+3*(6531.3/30)</f>
        <v>11068.73</v>
      </c>
      <c r="G44" s="10" t="s">
        <v>63</v>
      </c>
    </row>
    <row r="45" spans="1:7">
      <c r="A45" s="13" t="s">
        <v>57</v>
      </c>
      <c r="B45" s="14" t="s">
        <v>61</v>
      </c>
      <c r="C45" s="14" t="s">
        <v>16</v>
      </c>
      <c r="E45" s="4">
        <v>45778</v>
      </c>
      <c r="F45">
        <f>10918.52+3*(10352.7/30)</f>
        <v>11953.79</v>
      </c>
      <c r="G45" s="10" t="s">
        <v>63</v>
      </c>
    </row>
    <row r="46" spans="1:7">
      <c r="A46" s="13" t="s">
        <v>57</v>
      </c>
      <c r="B46" s="14" t="s">
        <v>62</v>
      </c>
      <c r="C46" s="14" t="s">
        <v>16</v>
      </c>
      <c r="E46" s="4">
        <v>45778</v>
      </c>
      <c r="F46">
        <f>10705.97+3*(29004.3/30)</f>
        <v>13606.4</v>
      </c>
      <c r="G46" s="10" t="s">
        <v>63</v>
      </c>
    </row>
    <row r="47" spans="1:7">
      <c r="A47" s="13" t="s">
        <v>57</v>
      </c>
      <c r="B47" s="14" t="s">
        <v>58</v>
      </c>
      <c r="C47" s="14" t="s">
        <v>16</v>
      </c>
      <c r="E47" s="4">
        <v>45827</v>
      </c>
      <c r="F47">
        <f>10486.18+3*(9766.8/30)</f>
        <v>11462.86</v>
      </c>
      <c r="G47" s="10" t="s">
        <v>63</v>
      </c>
    </row>
    <row r="48" spans="1:7">
      <c r="A48" s="13" t="s">
        <v>57</v>
      </c>
      <c r="B48" s="14" t="s">
        <v>59</v>
      </c>
      <c r="C48" s="14" t="s">
        <v>16</v>
      </c>
      <c r="E48" s="4">
        <v>45827</v>
      </c>
      <c r="F48">
        <f>10844.84+3*(5859.9/30)</f>
        <v>11430.83</v>
      </c>
      <c r="G48" s="10" t="s">
        <v>63</v>
      </c>
    </row>
    <row r="49" spans="1:7">
      <c r="A49" s="13" t="s">
        <v>57</v>
      </c>
      <c r="B49" s="14" t="s">
        <v>60</v>
      </c>
      <c r="C49" s="14" t="s">
        <v>16</v>
      </c>
      <c r="E49" s="4">
        <v>45827</v>
      </c>
      <c r="F49">
        <f>10415.6+3*(6531.3/30)</f>
        <v>11068.73</v>
      </c>
      <c r="G49" s="10" t="s">
        <v>63</v>
      </c>
    </row>
    <row r="50" spans="1:7">
      <c r="A50" s="13" t="s">
        <v>57</v>
      </c>
      <c r="B50" s="14" t="s">
        <v>61</v>
      </c>
      <c r="C50" s="14" t="s">
        <v>16</v>
      </c>
      <c r="E50" s="4">
        <v>45827</v>
      </c>
      <c r="F50">
        <f>10918.52+3*(10352.7/30)</f>
        <v>11953.79</v>
      </c>
      <c r="G50" s="10" t="s">
        <v>63</v>
      </c>
    </row>
    <row r="51" spans="1:7">
      <c r="A51" s="13" t="s">
        <v>57</v>
      </c>
      <c r="B51" s="14" t="s">
        <v>62</v>
      </c>
      <c r="C51" s="14" t="s">
        <v>16</v>
      </c>
      <c r="E51" s="4">
        <v>45827</v>
      </c>
      <c r="F51">
        <f>10705.97+3*(29004.3/30)</f>
        <v>13606.4</v>
      </c>
      <c r="G51" s="10" t="s">
        <v>63</v>
      </c>
    </row>
    <row r="52" spans="1:7">
      <c r="A52" s="13" t="s">
        <v>57</v>
      </c>
      <c r="B52" s="14" t="s">
        <v>58</v>
      </c>
      <c r="C52" s="14" t="s">
        <v>16</v>
      </c>
      <c r="E52" s="4">
        <v>45873</v>
      </c>
      <c r="F52">
        <f>10486.18+3*(9766.8/30)</f>
        <v>11462.86</v>
      </c>
      <c r="G52" s="10" t="s">
        <v>63</v>
      </c>
    </row>
    <row r="53" spans="1:7">
      <c r="A53" s="13" t="s">
        <v>57</v>
      </c>
      <c r="B53" s="14" t="s">
        <v>59</v>
      </c>
      <c r="C53" s="14" t="s">
        <v>16</v>
      </c>
      <c r="E53" s="4">
        <v>45873</v>
      </c>
      <c r="F53">
        <f>10844.84+3*(5859.9/30)</f>
        <v>11430.83</v>
      </c>
      <c r="G53" s="10" t="s">
        <v>63</v>
      </c>
    </row>
    <row r="54" spans="1:7">
      <c r="A54" s="13" t="s">
        <v>57</v>
      </c>
      <c r="B54" s="14" t="s">
        <v>60</v>
      </c>
      <c r="C54" s="14" t="s">
        <v>16</v>
      </c>
      <c r="E54" s="4">
        <v>45873</v>
      </c>
      <c r="F54">
        <f>20831.2+3*(6531.3/30)</f>
        <v>21484.33</v>
      </c>
      <c r="G54" s="10" t="s">
        <v>63</v>
      </c>
    </row>
    <row r="55" spans="1:7">
      <c r="A55" s="13" t="s">
        <v>57</v>
      </c>
      <c r="B55" s="14" t="s">
        <v>61</v>
      </c>
      <c r="C55" s="14" t="s">
        <v>16</v>
      </c>
      <c r="E55" s="4">
        <v>45873</v>
      </c>
      <c r="F55">
        <f>10918.52+3*(10352.7/30)</f>
        <v>11953.79</v>
      </c>
      <c r="G55" s="10" t="s">
        <v>63</v>
      </c>
    </row>
    <row r="56" spans="1:7">
      <c r="A56" s="13" t="s">
        <v>57</v>
      </c>
      <c r="B56" s="14" t="s">
        <v>62</v>
      </c>
      <c r="C56" s="14" t="s">
        <v>16</v>
      </c>
      <c r="E56" s="4">
        <v>45873</v>
      </c>
      <c r="F56">
        <f>10705.97+3*(29004.3/30)</f>
        <v>13606.4</v>
      </c>
      <c r="G56" s="10" t="s">
        <v>63</v>
      </c>
    </row>
    <row r="57" spans="1:7">
      <c r="A57" s="13" t="s">
        <v>57</v>
      </c>
      <c r="B57" s="14" t="s">
        <v>58</v>
      </c>
      <c r="C57" s="14" t="s">
        <v>16</v>
      </c>
      <c r="E57" s="4">
        <v>45931</v>
      </c>
      <c r="F57">
        <f>10550.87+3*(9766.8/30)</f>
        <v>11527.550000000001</v>
      </c>
      <c r="G57" s="10" t="s">
        <v>17</v>
      </c>
    </row>
    <row r="58" spans="1:7">
      <c r="A58" s="13" t="s">
        <v>57</v>
      </c>
      <c r="B58" s="14" t="s">
        <v>59</v>
      </c>
      <c r="C58" s="14" t="s">
        <v>16</v>
      </c>
      <c r="E58" s="4">
        <v>45931</v>
      </c>
      <c r="F58">
        <f>10844.84+3*(5859.9/30)</f>
        <v>11430.83</v>
      </c>
      <c r="G58" s="10" t="s">
        <v>17</v>
      </c>
    </row>
    <row r="59" spans="1:7">
      <c r="A59" s="13" t="s">
        <v>57</v>
      </c>
      <c r="B59" s="14" t="s">
        <v>60</v>
      </c>
      <c r="C59" s="14" t="s">
        <v>16</v>
      </c>
      <c r="E59" s="4">
        <v>45931</v>
      </c>
      <c r="F59">
        <f>20831.2+3*(6531.3/30)</f>
        <v>21484.33</v>
      </c>
      <c r="G59" s="10" t="s">
        <v>17</v>
      </c>
    </row>
    <row r="60" spans="1:7">
      <c r="A60" s="13" t="s">
        <v>57</v>
      </c>
      <c r="B60" s="14" t="s">
        <v>61</v>
      </c>
      <c r="C60" s="14" t="s">
        <v>16</v>
      </c>
      <c r="E60" s="4">
        <v>45931</v>
      </c>
      <c r="F60">
        <f>10918.52+3*(10352.7/30)</f>
        <v>11953.79</v>
      </c>
      <c r="G60" s="10" t="s">
        <v>17</v>
      </c>
    </row>
    <row r="61" spans="1:7">
      <c r="A61" s="13" t="s">
        <v>57</v>
      </c>
      <c r="B61" s="14" t="s">
        <v>62</v>
      </c>
      <c r="C61" s="14" t="s">
        <v>16</v>
      </c>
      <c r="E61" s="4">
        <v>45931</v>
      </c>
      <c r="F61">
        <f>10705.97+3*(29004.3/30)</f>
        <v>13606.4</v>
      </c>
      <c r="G61" s="10" t="s">
        <v>17</v>
      </c>
    </row>
    <row r="62" spans="1:7" ht="21.75">
      <c r="A62" s="13" t="s">
        <v>64</v>
      </c>
      <c r="B62" s="14" t="s">
        <v>60</v>
      </c>
      <c r="C62" s="18" t="s">
        <v>22</v>
      </c>
      <c r="E62" s="4">
        <v>45658</v>
      </c>
      <c r="F62" s="49">
        <v>5885.19</v>
      </c>
      <c r="G62" t="s">
        <v>12</v>
      </c>
    </row>
    <row r="63" spans="1:7" ht="18.75">
      <c r="A63" s="13" t="s">
        <v>65</v>
      </c>
      <c r="B63" s="14" t="s">
        <v>60</v>
      </c>
      <c r="C63" s="2" t="s">
        <v>38</v>
      </c>
      <c r="E63" s="4">
        <v>45720</v>
      </c>
      <c r="F63" s="47">
        <v>4392.75</v>
      </c>
      <c r="G63" s="10" t="s">
        <v>17</v>
      </c>
    </row>
    <row r="64" spans="1:7" ht="14.25">
      <c r="A64" s="13" t="s">
        <v>66</v>
      </c>
      <c r="B64" s="20" t="s">
        <v>67</v>
      </c>
      <c r="C64" s="18" t="s">
        <v>32</v>
      </c>
      <c r="E64" s="4">
        <v>45658</v>
      </c>
      <c r="F64" s="49">
        <v>2638.17</v>
      </c>
      <c r="G64" t="s">
        <v>12</v>
      </c>
    </row>
    <row r="65" spans="1:7" ht="21.75">
      <c r="A65" s="13" t="s">
        <v>68</v>
      </c>
      <c r="B65" s="20" t="s">
        <v>67</v>
      </c>
      <c r="C65" s="18" t="s">
        <v>22</v>
      </c>
      <c r="E65" s="4">
        <v>45658</v>
      </c>
      <c r="F65" s="49">
        <v>14084.13</v>
      </c>
      <c r="G65" t="s">
        <v>12</v>
      </c>
    </row>
    <row r="66" spans="1:7" ht="18.75">
      <c r="A66" s="21" t="s">
        <v>69</v>
      </c>
      <c r="B66" s="20" t="s">
        <v>67</v>
      </c>
      <c r="C66" s="18" t="s">
        <v>38</v>
      </c>
      <c r="E66" s="4">
        <v>45728</v>
      </c>
      <c r="F66" s="47">
        <v>4499.33</v>
      </c>
      <c r="G66" s="10" t="s">
        <v>17</v>
      </c>
    </row>
    <row r="67" spans="1:7">
      <c r="A67" s="15" t="s">
        <v>70</v>
      </c>
      <c r="B67" s="22" t="s">
        <v>67</v>
      </c>
      <c r="C67" s="19" t="s">
        <v>40</v>
      </c>
      <c r="E67" s="4">
        <v>45756</v>
      </c>
      <c r="F67" s="51">
        <f>60803.61/12</f>
        <v>5066.9674999999997</v>
      </c>
      <c r="G67" s="10" t="s">
        <v>12</v>
      </c>
    </row>
    <row r="68" spans="1:7" ht="14.25">
      <c r="A68" s="13" t="s">
        <v>71</v>
      </c>
      <c r="B68" s="14" t="s">
        <v>62</v>
      </c>
      <c r="C68" s="18" t="s">
        <v>32</v>
      </c>
      <c r="E68" s="4">
        <v>45658</v>
      </c>
      <c r="F68" s="49">
        <v>1958</v>
      </c>
      <c r="G68" s="10" t="s">
        <v>12</v>
      </c>
    </row>
    <row r="69" spans="1:7" ht="21.75">
      <c r="A69" s="13" t="s">
        <v>72</v>
      </c>
      <c r="B69" s="6" t="s">
        <v>62</v>
      </c>
      <c r="C69" s="18" t="s">
        <v>22</v>
      </c>
      <c r="E69" s="4">
        <v>45658</v>
      </c>
      <c r="F69" s="49">
        <v>8900.39</v>
      </c>
      <c r="G69" s="10" t="s">
        <v>12</v>
      </c>
    </row>
    <row r="70" spans="1:7">
      <c r="A70" s="15" t="s">
        <v>73</v>
      </c>
      <c r="B70" s="22" t="s">
        <v>62</v>
      </c>
      <c r="C70" s="17" t="s">
        <v>40</v>
      </c>
      <c r="E70" s="4">
        <v>45658</v>
      </c>
      <c r="F70">
        <f>36563/12</f>
        <v>3046.9166666666665</v>
      </c>
      <c r="G70" s="10" t="s">
        <v>12</v>
      </c>
    </row>
    <row r="71" spans="1:7">
      <c r="A71" s="15" t="s">
        <v>73</v>
      </c>
      <c r="B71" s="22" t="s">
        <v>62</v>
      </c>
      <c r="C71" s="17" t="s">
        <v>40</v>
      </c>
      <c r="D71" s="4">
        <v>45891</v>
      </c>
      <c r="G71" s="10" t="s">
        <v>74</v>
      </c>
    </row>
    <row r="72" spans="1:7" ht="24">
      <c r="A72" s="13" t="s">
        <v>75</v>
      </c>
      <c r="B72" s="6" t="s">
        <v>62</v>
      </c>
      <c r="C72" s="2" t="s">
        <v>44</v>
      </c>
      <c r="E72" s="4">
        <v>45658</v>
      </c>
      <c r="F72">
        <v>9766.2900000000009</v>
      </c>
      <c r="G72" s="10" t="s">
        <v>17</v>
      </c>
    </row>
    <row r="73" spans="1:7" ht="15.75">
      <c r="A73" s="13" t="s">
        <v>76</v>
      </c>
      <c r="B73" s="14" t="s">
        <v>77</v>
      </c>
      <c r="C73" s="18" t="s">
        <v>78</v>
      </c>
      <c r="E73" s="4">
        <v>45823</v>
      </c>
      <c r="F73" s="46">
        <v>12666.66</v>
      </c>
      <c r="G73" s="10" t="s">
        <v>12</v>
      </c>
    </row>
    <row r="74" spans="1:7" ht="21.75">
      <c r="A74" s="13" t="s">
        <v>79</v>
      </c>
      <c r="B74" s="14" t="s">
        <v>80</v>
      </c>
      <c r="C74" s="18" t="s">
        <v>22</v>
      </c>
      <c r="E74" s="4">
        <v>45658</v>
      </c>
      <c r="F74" s="49">
        <v>1089.17</v>
      </c>
      <c r="G74" s="10" t="s">
        <v>12</v>
      </c>
    </row>
    <row r="75" spans="1:7">
      <c r="A75" s="13" t="s">
        <v>81</v>
      </c>
      <c r="B75" s="6" t="s">
        <v>80</v>
      </c>
      <c r="C75" s="2" t="s">
        <v>38</v>
      </c>
      <c r="E75" s="4">
        <v>45658</v>
      </c>
      <c r="F75" s="51">
        <v>5102.62</v>
      </c>
      <c r="G75" s="10" t="s">
        <v>17</v>
      </c>
    </row>
    <row r="76" spans="1:7">
      <c r="A76" s="13" t="s">
        <v>81</v>
      </c>
      <c r="B76" s="6" t="s">
        <v>80</v>
      </c>
      <c r="C76" s="2" t="s">
        <v>38</v>
      </c>
      <c r="E76" s="4">
        <v>45938</v>
      </c>
      <c r="F76" s="51">
        <v>5102.62</v>
      </c>
      <c r="G76" s="10" t="s">
        <v>82</v>
      </c>
    </row>
    <row r="77" spans="1:7">
      <c r="A77" s="13" t="s">
        <v>83</v>
      </c>
      <c r="B77" s="14" t="s">
        <v>80</v>
      </c>
      <c r="C77" s="2" t="s">
        <v>40</v>
      </c>
      <c r="E77" s="4">
        <v>45756</v>
      </c>
      <c r="F77">
        <f>46148.04/12</f>
        <v>3845.67</v>
      </c>
      <c r="G77" s="10" t="s">
        <v>12</v>
      </c>
    </row>
    <row r="78" spans="1:7" ht="14.25">
      <c r="A78" s="13" t="s">
        <v>84</v>
      </c>
      <c r="B78" s="6" t="s">
        <v>59</v>
      </c>
      <c r="C78" s="2" t="s">
        <v>32</v>
      </c>
      <c r="E78" s="4">
        <v>45658</v>
      </c>
      <c r="F78" s="49">
        <v>407.36</v>
      </c>
      <c r="G78" s="10" t="s">
        <v>12</v>
      </c>
    </row>
    <row r="79" spans="1:7" ht="21.75">
      <c r="A79" s="13" t="s">
        <v>85</v>
      </c>
      <c r="B79" s="14" t="s">
        <v>59</v>
      </c>
      <c r="C79" s="18" t="s">
        <v>22</v>
      </c>
      <c r="E79" s="4">
        <v>45658</v>
      </c>
      <c r="F79" s="69">
        <v>20468.21</v>
      </c>
      <c r="G79" s="10" t="s">
        <v>12</v>
      </c>
    </row>
    <row r="80" spans="1:7" ht="15.75">
      <c r="A80" s="13" t="s">
        <v>86</v>
      </c>
      <c r="B80" s="14" t="s">
        <v>59</v>
      </c>
      <c r="C80" s="2" t="s">
        <v>38</v>
      </c>
      <c r="E80" s="4">
        <v>45658</v>
      </c>
      <c r="F80" s="46">
        <v>8952.8799999999992</v>
      </c>
      <c r="G80" s="10" t="s">
        <v>17</v>
      </c>
    </row>
    <row r="81" spans="1:7" ht="15.75">
      <c r="A81" s="13" t="s">
        <v>86</v>
      </c>
      <c r="B81" s="14" t="s">
        <v>59</v>
      </c>
      <c r="C81" s="2" t="s">
        <v>38</v>
      </c>
      <c r="E81" s="4">
        <v>45659</v>
      </c>
      <c r="F81" s="46">
        <v>10101.89</v>
      </c>
      <c r="G81" s="10" t="s">
        <v>87</v>
      </c>
    </row>
    <row r="82" spans="1:7">
      <c r="A82" s="13" t="s">
        <v>88</v>
      </c>
      <c r="B82" s="22" t="s">
        <v>59</v>
      </c>
      <c r="C82" s="17" t="s">
        <v>40</v>
      </c>
      <c r="E82" s="4">
        <v>45658</v>
      </c>
      <c r="F82">
        <f>67179.14/12</f>
        <v>5598.2616666666663</v>
      </c>
      <c r="G82" s="10" t="s">
        <v>12</v>
      </c>
    </row>
    <row r="83" spans="1:7" ht="24">
      <c r="A83" s="13" t="s">
        <v>89</v>
      </c>
      <c r="B83" s="6" t="s">
        <v>59</v>
      </c>
      <c r="C83" s="2" t="s">
        <v>90</v>
      </c>
      <c r="E83" s="4">
        <v>45658</v>
      </c>
      <c r="F83">
        <v>4205</v>
      </c>
      <c r="G83" s="10" t="s">
        <v>12</v>
      </c>
    </row>
    <row r="84" spans="1:7" ht="24">
      <c r="A84" s="13" t="s">
        <v>91</v>
      </c>
      <c r="B84" s="14" t="s">
        <v>59</v>
      </c>
      <c r="C84" s="2" t="s">
        <v>92</v>
      </c>
      <c r="E84" s="4">
        <v>45658</v>
      </c>
      <c r="F84">
        <f>27400/12</f>
        <v>2283.3333333333335</v>
      </c>
      <c r="G84" s="10" t="s">
        <v>12</v>
      </c>
    </row>
    <row r="85" spans="1:7" ht="14.25">
      <c r="A85" s="13" t="s">
        <v>93</v>
      </c>
      <c r="B85" s="14" t="s">
        <v>94</v>
      </c>
      <c r="C85" s="18" t="s">
        <v>32</v>
      </c>
      <c r="E85" s="4">
        <v>45658</v>
      </c>
      <c r="F85" s="49">
        <v>3152.06</v>
      </c>
      <c r="G85" s="10" t="s">
        <v>12</v>
      </c>
    </row>
    <row r="86" spans="1:7" ht="21.75">
      <c r="A86" s="13" t="s">
        <v>95</v>
      </c>
      <c r="B86" s="14" t="s">
        <v>94</v>
      </c>
      <c r="C86" s="23" t="s">
        <v>22</v>
      </c>
      <c r="E86" s="4">
        <v>45658</v>
      </c>
      <c r="F86" s="49">
        <v>6690.42</v>
      </c>
      <c r="G86" s="10" t="s">
        <v>12</v>
      </c>
    </row>
    <row r="87" spans="1:7">
      <c r="A87" s="13" t="s">
        <v>96</v>
      </c>
      <c r="B87" s="14" t="s">
        <v>94</v>
      </c>
      <c r="C87" s="24" t="s">
        <v>38</v>
      </c>
      <c r="E87" s="4">
        <v>45658</v>
      </c>
      <c r="F87">
        <v>10059.77</v>
      </c>
      <c r="G87" s="10" t="s">
        <v>17</v>
      </c>
    </row>
    <row r="88" spans="1:7" ht="15.75">
      <c r="A88" s="13" t="s">
        <v>96</v>
      </c>
      <c r="B88" s="14" t="s">
        <v>94</v>
      </c>
      <c r="C88" s="24" t="s">
        <v>38</v>
      </c>
      <c r="E88" s="4">
        <v>45717</v>
      </c>
      <c r="F88" s="57">
        <v>10957.6</v>
      </c>
      <c r="G88" s="10" t="s">
        <v>87</v>
      </c>
    </row>
    <row r="89" spans="1:7">
      <c r="A89" s="13" t="s">
        <v>97</v>
      </c>
      <c r="B89" s="14" t="s">
        <v>94</v>
      </c>
      <c r="C89" s="18" t="s">
        <v>40</v>
      </c>
      <c r="E89" s="4">
        <v>45658</v>
      </c>
      <c r="F89">
        <f>31458/12</f>
        <v>2621.5</v>
      </c>
      <c r="G89" s="10" t="s">
        <v>12</v>
      </c>
    </row>
    <row r="90" spans="1:7" ht="36">
      <c r="A90" s="13" t="s">
        <v>98</v>
      </c>
      <c r="B90" s="14" t="s">
        <v>94</v>
      </c>
      <c r="C90" s="18" t="s">
        <v>99</v>
      </c>
      <c r="E90" s="4">
        <v>45658</v>
      </c>
      <c r="F90">
        <v>500</v>
      </c>
      <c r="G90" s="10" t="s">
        <v>12</v>
      </c>
    </row>
    <row r="91" spans="1:7" ht="24">
      <c r="A91" s="13" t="s">
        <v>100</v>
      </c>
      <c r="B91" s="14" t="s">
        <v>94</v>
      </c>
      <c r="C91" s="2" t="s">
        <v>44</v>
      </c>
      <c r="E91" s="4">
        <v>45658</v>
      </c>
      <c r="F91" s="45">
        <v>14653.96</v>
      </c>
      <c r="G91" s="10" t="s">
        <v>17</v>
      </c>
    </row>
    <row r="92" spans="1:7" ht="21.75">
      <c r="A92" s="13" t="s">
        <v>101</v>
      </c>
      <c r="B92" s="14" t="s">
        <v>61</v>
      </c>
      <c r="C92" s="2" t="s">
        <v>22</v>
      </c>
      <c r="E92" s="4">
        <v>45658</v>
      </c>
      <c r="F92" s="49">
        <v>11157.73</v>
      </c>
      <c r="G92" s="10" t="s">
        <v>12</v>
      </c>
    </row>
    <row r="93" spans="1:7" ht="15.75">
      <c r="A93" s="13" t="s">
        <v>102</v>
      </c>
      <c r="B93" s="6" t="s">
        <v>61</v>
      </c>
      <c r="C93" s="2" t="s">
        <v>38</v>
      </c>
      <c r="E93" s="4">
        <v>45719</v>
      </c>
      <c r="F93" s="46">
        <v>5166.66</v>
      </c>
      <c r="G93" s="10" t="s">
        <v>12</v>
      </c>
    </row>
    <row r="94" spans="1:7" ht="15.75">
      <c r="A94" s="13" t="s">
        <v>102</v>
      </c>
      <c r="B94" s="6" t="s">
        <v>61</v>
      </c>
      <c r="C94" s="2" t="s">
        <v>38</v>
      </c>
      <c r="D94" s="4">
        <v>45843</v>
      </c>
      <c r="F94" s="46"/>
      <c r="G94" s="10" t="s">
        <v>74</v>
      </c>
    </row>
    <row r="95" spans="1:7">
      <c r="A95" s="13" t="s">
        <v>103</v>
      </c>
      <c r="B95" s="14" t="s">
        <v>61</v>
      </c>
      <c r="C95" s="2" t="s">
        <v>56</v>
      </c>
      <c r="E95" s="4">
        <v>45658</v>
      </c>
      <c r="F95" s="51">
        <v>25138.57</v>
      </c>
      <c r="G95" s="10" t="s">
        <v>12</v>
      </c>
    </row>
    <row r="96" spans="1:7">
      <c r="A96" s="13" t="s">
        <v>103</v>
      </c>
      <c r="B96" s="14" t="s">
        <v>61</v>
      </c>
      <c r="C96" s="2" t="s">
        <v>56</v>
      </c>
      <c r="E96" s="4">
        <v>45717</v>
      </c>
      <c r="F96" s="51">
        <v>27060.21</v>
      </c>
      <c r="G96" s="10" t="s">
        <v>17</v>
      </c>
    </row>
    <row r="97" spans="1:7" ht="21.75">
      <c r="A97" s="13" t="s">
        <v>104</v>
      </c>
      <c r="B97" s="6" t="s">
        <v>58</v>
      </c>
      <c r="C97" s="18" t="s">
        <v>22</v>
      </c>
      <c r="E97" s="4">
        <v>45658</v>
      </c>
      <c r="F97" s="69">
        <v>8911.19</v>
      </c>
      <c r="G97" s="10" t="s">
        <v>12</v>
      </c>
    </row>
    <row r="98" spans="1:7" ht="24">
      <c r="A98" s="13" t="s">
        <v>105</v>
      </c>
      <c r="B98" s="6" t="s">
        <v>58</v>
      </c>
      <c r="C98" s="2" t="s">
        <v>44</v>
      </c>
      <c r="E98" s="4">
        <v>45658</v>
      </c>
      <c r="F98" s="45">
        <v>11595.06</v>
      </c>
      <c r="G98" s="10" t="s">
        <v>12</v>
      </c>
    </row>
    <row r="99" spans="1:7" ht="24">
      <c r="A99" s="13" t="s">
        <v>105</v>
      </c>
      <c r="B99" s="6" t="s">
        <v>58</v>
      </c>
      <c r="C99" s="2" t="s">
        <v>44</v>
      </c>
      <c r="E99" s="4">
        <v>45717</v>
      </c>
      <c r="F99" s="45">
        <v>12377.27</v>
      </c>
      <c r="G99" s="10" t="s">
        <v>63</v>
      </c>
    </row>
    <row r="100" spans="1:7" ht="24">
      <c r="A100" s="13" t="s">
        <v>105</v>
      </c>
      <c r="B100" s="6" t="s">
        <v>58</v>
      </c>
      <c r="C100" s="2" t="s">
        <v>44</v>
      </c>
      <c r="E100" s="4">
        <v>45826</v>
      </c>
      <c r="F100" s="45">
        <v>12419.32</v>
      </c>
      <c r="G100" s="10" t="s">
        <v>17</v>
      </c>
    </row>
    <row r="101" spans="1:7" ht="14.25">
      <c r="A101" s="13" t="s">
        <v>106</v>
      </c>
      <c r="B101" s="14" t="s">
        <v>107</v>
      </c>
      <c r="C101" s="18" t="s">
        <v>32</v>
      </c>
      <c r="E101" s="4">
        <v>45658</v>
      </c>
      <c r="F101" s="49">
        <v>260.95999999999998</v>
      </c>
      <c r="G101" s="10" t="s">
        <v>12</v>
      </c>
    </row>
    <row r="102" spans="1:7" ht="21.75">
      <c r="A102" s="13" t="s">
        <v>108</v>
      </c>
      <c r="B102" s="14" t="s">
        <v>107</v>
      </c>
      <c r="C102" s="18" t="s">
        <v>22</v>
      </c>
      <c r="E102" s="4">
        <v>45658</v>
      </c>
      <c r="F102" s="49">
        <v>12600.35</v>
      </c>
      <c r="G102" s="10" t="s">
        <v>12</v>
      </c>
    </row>
    <row r="103" spans="1:7">
      <c r="A103" s="15" t="s">
        <v>109</v>
      </c>
      <c r="B103" s="14" t="s">
        <v>107</v>
      </c>
      <c r="C103" s="23" t="s">
        <v>38</v>
      </c>
      <c r="E103" s="4">
        <v>45762</v>
      </c>
      <c r="F103" s="45">
        <v>3966</v>
      </c>
      <c r="G103" s="10" t="s">
        <v>12</v>
      </c>
    </row>
    <row r="104" spans="1:7">
      <c r="A104" s="13" t="s">
        <v>110</v>
      </c>
      <c r="B104" s="14" t="s">
        <v>107</v>
      </c>
      <c r="C104" s="18" t="s">
        <v>40</v>
      </c>
      <c r="E104" s="4">
        <v>45658</v>
      </c>
      <c r="F104">
        <f>25452/12</f>
        <v>2121</v>
      </c>
      <c r="G104" s="10" t="s">
        <v>12</v>
      </c>
    </row>
    <row r="105" spans="1:7">
      <c r="A105" s="13" t="s">
        <v>110</v>
      </c>
      <c r="B105" s="14" t="s">
        <v>107</v>
      </c>
      <c r="C105" s="18" t="s">
        <v>40</v>
      </c>
      <c r="D105" s="4">
        <v>45922</v>
      </c>
      <c r="E105" s="4"/>
      <c r="G105" s="10" t="s">
        <v>74</v>
      </c>
    </row>
    <row r="106" spans="1:7">
      <c r="A106" s="14" t="s">
        <v>111</v>
      </c>
      <c r="B106" s="14" t="s">
        <v>112</v>
      </c>
      <c r="C106" s="2" t="s">
        <v>44</v>
      </c>
      <c r="E106" s="4">
        <v>45770</v>
      </c>
      <c r="F106" s="52">
        <v>11499.44</v>
      </c>
      <c r="G106" s="10" t="s">
        <v>12</v>
      </c>
    </row>
    <row r="107" spans="1:7">
      <c r="A107" s="14" t="s">
        <v>111</v>
      </c>
      <c r="B107" s="14" t="s">
        <v>113</v>
      </c>
      <c r="C107" s="2" t="s">
        <v>30</v>
      </c>
      <c r="E107" s="4">
        <v>45770</v>
      </c>
      <c r="F107" s="52">
        <v>5738.8</v>
      </c>
      <c r="G107" s="10" t="s">
        <v>12</v>
      </c>
    </row>
    <row r="108" spans="1:7">
      <c r="A108" s="14" t="s">
        <v>111</v>
      </c>
      <c r="B108" s="14" t="s">
        <v>114</v>
      </c>
      <c r="C108" s="2" t="s">
        <v>44</v>
      </c>
      <c r="E108" s="4">
        <v>45770</v>
      </c>
      <c r="F108" s="52">
        <v>11423.76</v>
      </c>
      <c r="G108" s="10" t="s">
        <v>12</v>
      </c>
    </row>
    <row r="109" spans="1:7">
      <c r="A109" s="14" t="s">
        <v>111</v>
      </c>
      <c r="B109" s="14" t="s">
        <v>112</v>
      </c>
      <c r="C109" s="2" t="s">
        <v>44</v>
      </c>
      <c r="E109" s="4">
        <v>45897</v>
      </c>
      <c r="F109" s="52">
        <v>5717.52</v>
      </c>
      <c r="G109" s="10" t="s">
        <v>115</v>
      </c>
    </row>
    <row r="110" spans="1:7" ht="84.75">
      <c r="A110" s="25" t="s">
        <v>116</v>
      </c>
      <c r="B110" s="25" t="s">
        <v>117</v>
      </c>
      <c r="C110" s="24" t="s">
        <v>16</v>
      </c>
      <c r="E110" s="4">
        <v>45292</v>
      </c>
      <c r="F110" s="49">
        <f>79958.1+48914.28/12*3</f>
        <v>92186.670000000013</v>
      </c>
      <c r="G110" s="10" t="s">
        <v>118</v>
      </c>
    </row>
    <row r="111" spans="1:7" ht="14.25">
      <c r="A111" s="25" t="s">
        <v>116</v>
      </c>
      <c r="B111" s="25" t="s">
        <v>119</v>
      </c>
      <c r="C111" s="24" t="s">
        <v>16</v>
      </c>
      <c r="E111" s="4">
        <v>45863</v>
      </c>
      <c r="F111" s="49">
        <f>68590.53+39780.36/12*3</f>
        <v>78535.62</v>
      </c>
      <c r="G111" s="10" t="s">
        <v>120</v>
      </c>
    </row>
    <row r="112" spans="1:7" ht="14.25">
      <c r="A112" s="13" t="s">
        <v>121</v>
      </c>
      <c r="B112" s="14" t="s">
        <v>122</v>
      </c>
      <c r="C112" s="2" t="s">
        <v>32</v>
      </c>
      <c r="E112" s="4">
        <v>45813</v>
      </c>
      <c r="F112" s="70">
        <v>344.58</v>
      </c>
      <c r="G112" s="10" t="s">
        <v>12</v>
      </c>
    </row>
    <row r="113" spans="1:7" ht="14.25">
      <c r="A113" s="13" t="s">
        <v>123</v>
      </c>
      <c r="B113" s="14" t="s">
        <v>122</v>
      </c>
      <c r="C113" s="2" t="s">
        <v>32</v>
      </c>
      <c r="E113" s="4">
        <v>45658</v>
      </c>
      <c r="F113" s="49">
        <v>1037.83</v>
      </c>
      <c r="G113" s="10" t="s">
        <v>12</v>
      </c>
    </row>
    <row r="114" spans="1:7" ht="21.75">
      <c r="A114" s="13" t="s">
        <v>124</v>
      </c>
      <c r="B114" s="14" t="s">
        <v>122</v>
      </c>
      <c r="C114" s="2" t="s">
        <v>22</v>
      </c>
      <c r="E114" s="4">
        <v>45658</v>
      </c>
      <c r="F114" s="49">
        <v>11558.4</v>
      </c>
      <c r="G114" s="10" t="s">
        <v>12</v>
      </c>
    </row>
    <row r="115" spans="1:7">
      <c r="A115" s="13" t="s">
        <v>125</v>
      </c>
      <c r="B115" s="14" t="s">
        <v>122</v>
      </c>
      <c r="C115" s="2" t="s">
        <v>38</v>
      </c>
      <c r="E115" s="4">
        <v>45658</v>
      </c>
      <c r="F115" s="52">
        <v>4874.16</v>
      </c>
      <c r="G115" s="10" t="s">
        <v>17</v>
      </c>
    </row>
    <row r="116" spans="1:7" ht="21.75">
      <c r="A116" s="13" t="s">
        <v>126</v>
      </c>
      <c r="B116" s="14" t="s">
        <v>122</v>
      </c>
      <c r="C116" s="18" t="s">
        <v>127</v>
      </c>
      <c r="E116" s="4">
        <v>45658</v>
      </c>
      <c r="F116">
        <f>9747.71+9908.47+3313.45+33358.77+883.31+4315.23+3802.43+582.87</f>
        <v>65912.239999999991</v>
      </c>
      <c r="G116" t="s">
        <v>12</v>
      </c>
    </row>
    <row r="117" spans="1:7" ht="42.75">
      <c r="A117" s="13" t="s">
        <v>128</v>
      </c>
      <c r="B117" s="14" t="s">
        <v>122</v>
      </c>
      <c r="C117" s="19" t="s">
        <v>129</v>
      </c>
      <c r="E117" s="4">
        <v>45658</v>
      </c>
      <c r="F117">
        <v>812.5</v>
      </c>
      <c r="G117" s="10" t="s">
        <v>12</v>
      </c>
    </row>
    <row r="118" spans="1:7" ht="42.75">
      <c r="A118" s="13" t="s">
        <v>128</v>
      </c>
      <c r="B118" s="14" t="s">
        <v>122</v>
      </c>
      <c r="C118" s="19" t="s">
        <v>129</v>
      </c>
      <c r="E118" s="4">
        <v>45783</v>
      </c>
      <c r="F118">
        <v>857.42</v>
      </c>
      <c r="G118" s="10" t="s">
        <v>52</v>
      </c>
    </row>
    <row r="119" spans="1:7">
      <c r="A119" s="13" t="s">
        <v>130</v>
      </c>
      <c r="B119" s="14" t="s">
        <v>122</v>
      </c>
      <c r="C119" s="2" t="s">
        <v>40</v>
      </c>
      <c r="E119" s="4">
        <v>45658</v>
      </c>
      <c r="F119">
        <f>42525.75/12</f>
        <v>3543.8125</v>
      </c>
      <c r="G119" s="10" t="s">
        <v>12</v>
      </c>
    </row>
    <row r="120" spans="1:7">
      <c r="A120" s="15" t="s">
        <v>131</v>
      </c>
      <c r="B120" s="22" t="s">
        <v>122</v>
      </c>
      <c r="C120" s="19" t="s">
        <v>132</v>
      </c>
      <c r="E120" s="4">
        <v>45658</v>
      </c>
      <c r="F120">
        <v>1700</v>
      </c>
      <c r="G120" s="10" t="s">
        <v>12</v>
      </c>
    </row>
    <row r="121" spans="1:7" ht="14.25">
      <c r="A121" s="13" t="s">
        <v>133</v>
      </c>
      <c r="B121" s="14" t="s">
        <v>134</v>
      </c>
      <c r="C121" s="2" t="s">
        <v>32</v>
      </c>
      <c r="E121" s="4">
        <v>45658</v>
      </c>
      <c r="F121" s="49">
        <v>375.04</v>
      </c>
      <c r="G121" s="10" t="s">
        <v>12</v>
      </c>
    </row>
    <row r="122" spans="1:7" ht="21.75">
      <c r="A122" s="13" t="s">
        <v>135</v>
      </c>
      <c r="B122" s="14" t="s">
        <v>134</v>
      </c>
      <c r="C122" s="2" t="s">
        <v>22</v>
      </c>
      <c r="E122" s="4">
        <v>45658</v>
      </c>
      <c r="F122" s="49">
        <v>4899.95</v>
      </c>
      <c r="G122" s="10" t="s">
        <v>12</v>
      </c>
    </row>
    <row r="123" spans="1:7">
      <c r="A123" s="13" t="s">
        <v>136</v>
      </c>
      <c r="B123" s="14" t="s">
        <v>134</v>
      </c>
      <c r="C123" s="2" t="s">
        <v>38</v>
      </c>
      <c r="E123" s="4">
        <v>45658</v>
      </c>
      <c r="F123" s="52">
        <v>5841.54</v>
      </c>
      <c r="G123" s="10" t="s">
        <v>12</v>
      </c>
    </row>
    <row r="124" spans="1:7">
      <c r="A124" s="13" t="s">
        <v>136</v>
      </c>
      <c r="B124" s="14" t="s">
        <v>134</v>
      </c>
      <c r="C124" s="2" t="s">
        <v>38</v>
      </c>
      <c r="E124" s="4">
        <v>45689</v>
      </c>
      <c r="F124" s="52">
        <v>5868.38</v>
      </c>
      <c r="G124" s="10" t="s">
        <v>17</v>
      </c>
    </row>
    <row r="125" spans="1:7" ht="14.25">
      <c r="A125" s="13" t="s">
        <v>137</v>
      </c>
      <c r="B125" s="14" t="s">
        <v>138</v>
      </c>
      <c r="C125" s="2" t="s">
        <v>32</v>
      </c>
      <c r="E125" s="4">
        <v>45658</v>
      </c>
      <c r="F125" s="49">
        <v>286.89</v>
      </c>
      <c r="G125" s="10" t="s">
        <v>12</v>
      </c>
    </row>
    <row r="126" spans="1:7" ht="14.25">
      <c r="A126" s="13" t="s">
        <v>137</v>
      </c>
      <c r="B126" s="14" t="s">
        <v>138</v>
      </c>
      <c r="C126" s="2" t="s">
        <v>32</v>
      </c>
      <c r="E126" s="4">
        <v>45936</v>
      </c>
      <c r="F126" s="49">
        <v>286.89</v>
      </c>
      <c r="G126" s="10" t="s">
        <v>82</v>
      </c>
    </row>
    <row r="127" spans="1:7" ht="21.75">
      <c r="A127" s="13" t="s">
        <v>139</v>
      </c>
      <c r="B127" s="14" t="s">
        <v>138</v>
      </c>
      <c r="C127" s="18" t="s">
        <v>22</v>
      </c>
      <c r="E127" s="4">
        <v>45658</v>
      </c>
      <c r="F127" s="49">
        <v>901.49</v>
      </c>
      <c r="G127" s="10" t="s">
        <v>12</v>
      </c>
    </row>
    <row r="128" spans="1:7" ht="14.25">
      <c r="A128" s="13" t="s">
        <v>140</v>
      </c>
      <c r="B128" s="14" t="s">
        <v>141</v>
      </c>
      <c r="C128" s="2" t="s">
        <v>32</v>
      </c>
      <c r="E128" s="4">
        <v>45658</v>
      </c>
      <c r="F128" s="49">
        <v>1515.36</v>
      </c>
      <c r="G128" s="10" t="s">
        <v>12</v>
      </c>
    </row>
    <row r="129" spans="1:7" ht="21.75">
      <c r="A129" s="13" t="s">
        <v>142</v>
      </c>
      <c r="B129" s="14" t="s">
        <v>141</v>
      </c>
      <c r="C129" s="2" t="s">
        <v>22</v>
      </c>
      <c r="E129" s="4">
        <v>45658</v>
      </c>
      <c r="F129" s="49">
        <v>832.82</v>
      </c>
      <c r="G129" s="10" t="s">
        <v>12</v>
      </c>
    </row>
    <row r="130" spans="1:7" ht="15.75">
      <c r="A130" s="13" t="s">
        <v>143</v>
      </c>
      <c r="B130" s="14" t="s">
        <v>141</v>
      </c>
      <c r="C130" s="2" t="s">
        <v>38</v>
      </c>
      <c r="E130" s="4">
        <v>45292</v>
      </c>
      <c r="F130" s="53">
        <v>3970.79</v>
      </c>
      <c r="G130" s="10" t="s">
        <v>118</v>
      </c>
    </row>
    <row r="131" spans="1:7" ht="14.25">
      <c r="A131" s="13" t="s">
        <v>144</v>
      </c>
      <c r="B131" s="14" t="s">
        <v>145</v>
      </c>
      <c r="C131" s="2" t="s">
        <v>32</v>
      </c>
      <c r="E131" s="4">
        <v>45658</v>
      </c>
      <c r="F131" s="49">
        <v>369.73</v>
      </c>
      <c r="G131" s="10" t="s">
        <v>12</v>
      </c>
    </row>
    <row r="132" spans="1:7" ht="21.75">
      <c r="A132" s="13" t="s">
        <v>146</v>
      </c>
      <c r="B132" s="14" t="s">
        <v>112</v>
      </c>
      <c r="C132" s="2" t="s">
        <v>22</v>
      </c>
      <c r="E132" s="4">
        <v>45658</v>
      </c>
      <c r="F132" s="48">
        <v>4106.07</v>
      </c>
      <c r="G132" s="10" t="s">
        <v>12</v>
      </c>
    </row>
    <row r="133" spans="1:7" ht="15.75">
      <c r="A133" s="13" t="s">
        <v>147</v>
      </c>
      <c r="B133" s="14" t="s">
        <v>112</v>
      </c>
      <c r="C133" s="2" t="s">
        <v>38</v>
      </c>
      <c r="E133" s="4">
        <v>45292</v>
      </c>
      <c r="F133" s="54">
        <v>3691.47</v>
      </c>
      <c r="G133" s="10" t="s">
        <v>118</v>
      </c>
    </row>
    <row r="134" spans="1:7" ht="21.75">
      <c r="A134" s="13" t="s">
        <v>148</v>
      </c>
      <c r="B134" s="14" t="s">
        <v>149</v>
      </c>
      <c r="C134" s="2" t="s">
        <v>22</v>
      </c>
      <c r="E134" s="4">
        <v>45658</v>
      </c>
      <c r="F134" s="49">
        <v>25137.94</v>
      </c>
      <c r="G134" s="10" t="s">
        <v>12</v>
      </c>
    </row>
    <row r="135" spans="1:7" ht="14.25">
      <c r="A135" s="13" t="s">
        <v>150</v>
      </c>
      <c r="B135" s="14" t="s">
        <v>149</v>
      </c>
      <c r="C135" s="2" t="s">
        <v>32</v>
      </c>
      <c r="E135" s="4">
        <v>45658</v>
      </c>
      <c r="F135" s="49">
        <v>408.73200000000003</v>
      </c>
      <c r="G135" s="10" t="s">
        <v>12</v>
      </c>
    </row>
    <row r="136" spans="1:7">
      <c r="A136" s="13" t="s">
        <v>151</v>
      </c>
      <c r="B136" s="14" t="s">
        <v>149</v>
      </c>
      <c r="C136" s="2" t="s">
        <v>38</v>
      </c>
      <c r="E136" s="4">
        <v>45658</v>
      </c>
      <c r="F136" s="55">
        <v>14141.55</v>
      </c>
      <c r="G136" s="10" t="s">
        <v>12</v>
      </c>
    </row>
    <row r="137" spans="1:7">
      <c r="A137" s="13" t="s">
        <v>151</v>
      </c>
      <c r="B137" s="14" t="s">
        <v>149</v>
      </c>
      <c r="C137" s="2" t="s">
        <v>38</v>
      </c>
      <c r="E137" s="4">
        <v>45800</v>
      </c>
      <c r="F137" s="55">
        <v>14266.21</v>
      </c>
      <c r="G137" s="10" t="s">
        <v>17</v>
      </c>
    </row>
    <row r="138" spans="1:7">
      <c r="A138" s="13" t="s">
        <v>152</v>
      </c>
      <c r="B138" s="14" t="s">
        <v>149</v>
      </c>
      <c r="C138" s="2" t="s">
        <v>132</v>
      </c>
      <c r="E138" s="4">
        <v>45658</v>
      </c>
      <c r="F138">
        <v>870</v>
      </c>
      <c r="G138" s="10" t="s">
        <v>12</v>
      </c>
    </row>
    <row r="139" spans="1:7">
      <c r="A139" s="13" t="s">
        <v>153</v>
      </c>
      <c r="B139" s="14" t="s">
        <v>149</v>
      </c>
      <c r="C139" s="2" t="s">
        <v>40</v>
      </c>
      <c r="E139" s="4">
        <v>45658</v>
      </c>
      <c r="F139">
        <f>46780/12</f>
        <v>3898.3333333333335</v>
      </c>
      <c r="G139" s="10" t="s">
        <v>12</v>
      </c>
    </row>
    <row r="140" spans="1:7">
      <c r="A140" s="13" t="s">
        <v>153</v>
      </c>
      <c r="B140" s="14" t="s">
        <v>149</v>
      </c>
      <c r="C140" s="2" t="s">
        <v>40</v>
      </c>
      <c r="D140" s="4">
        <v>45717</v>
      </c>
      <c r="E140" s="4"/>
      <c r="G140" s="10" t="s">
        <v>154</v>
      </c>
    </row>
    <row r="141" spans="1:7" ht="14.25">
      <c r="A141" s="13" t="s">
        <v>155</v>
      </c>
      <c r="B141" s="14" t="s">
        <v>156</v>
      </c>
      <c r="C141" s="2" t="s">
        <v>32</v>
      </c>
      <c r="E141" s="4">
        <v>45658</v>
      </c>
      <c r="F141" s="49">
        <v>1671.29</v>
      </c>
      <c r="G141" s="10" t="s">
        <v>12</v>
      </c>
    </row>
    <row r="142" spans="1:7" ht="21.75">
      <c r="A142" s="13" t="s">
        <v>157</v>
      </c>
      <c r="B142" s="14" t="s">
        <v>156</v>
      </c>
      <c r="C142" s="2" t="s">
        <v>22</v>
      </c>
      <c r="E142" s="4">
        <v>45658</v>
      </c>
      <c r="F142" s="49">
        <v>11854.96</v>
      </c>
      <c r="G142" s="10" t="s">
        <v>12</v>
      </c>
    </row>
    <row r="143" spans="1:7" ht="15.75">
      <c r="A143" s="13" t="s">
        <v>158</v>
      </c>
      <c r="B143" s="6" t="s">
        <v>156</v>
      </c>
      <c r="C143" s="2" t="s">
        <v>38</v>
      </c>
      <c r="E143" s="4">
        <v>45658</v>
      </c>
      <c r="F143" s="56">
        <v>10594.76</v>
      </c>
      <c r="G143" s="10" t="s">
        <v>17</v>
      </c>
    </row>
    <row r="144" spans="1:7" ht="21.75">
      <c r="A144" s="13" t="s">
        <v>159</v>
      </c>
      <c r="B144" s="14" t="s">
        <v>156</v>
      </c>
      <c r="C144" s="2" t="s">
        <v>160</v>
      </c>
      <c r="E144" s="4">
        <v>45567</v>
      </c>
      <c r="F144">
        <f>6892.03/12</f>
        <v>574.33583333333331</v>
      </c>
      <c r="G144" s="10" t="s">
        <v>118</v>
      </c>
    </row>
    <row r="145" spans="1:7" ht="21.75">
      <c r="A145" s="13" t="s">
        <v>159</v>
      </c>
      <c r="B145" s="14" t="s">
        <v>156</v>
      </c>
      <c r="C145" s="2" t="s">
        <v>160</v>
      </c>
      <c r="D145" s="4">
        <v>45761</v>
      </c>
      <c r="E145" s="4"/>
      <c r="G145" s="10" t="s">
        <v>154</v>
      </c>
    </row>
    <row r="146" spans="1:7">
      <c r="A146" s="13" t="s">
        <v>161</v>
      </c>
      <c r="B146" s="14" t="s">
        <v>156</v>
      </c>
      <c r="C146" s="2" t="s">
        <v>40</v>
      </c>
      <c r="E146" s="4">
        <v>45658</v>
      </c>
      <c r="F146">
        <f>52551/12</f>
        <v>4379.25</v>
      </c>
      <c r="G146" s="10" t="s">
        <v>12</v>
      </c>
    </row>
    <row r="147" spans="1:7" ht="14.25">
      <c r="A147" s="13" t="s">
        <v>162</v>
      </c>
      <c r="B147" s="6" t="s">
        <v>163</v>
      </c>
      <c r="C147" s="23" t="s">
        <v>32</v>
      </c>
      <c r="E147" s="4">
        <v>45658</v>
      </c>
      <c r="F147" s="69">
        <v>3721.59</v>
      </c>
      <c r="G147" s="10" t="s">
        <v>12</v>
      </c>
    </row>
    <row r="148" spans="1:7" ht="21.75">
      <c r="A148" s="13" t="s">
        <v>164</v>
      </c>
      <c r="B148" s="6" t="s">
        <v>163</v>
      </c>
      <c r="C148" s="18" t="s">
        <v>22</v>
      </c>
      <c r="E148" s="4">
        <v>45658</v>
      </c>
      <c r="F148" s="72">
        <v>3796.5524999999998</v>
      </c>
      <c r="G148" s="10" t="s">
        <v>12</v>
      </c>
    </row>
    <row r="149" spans="1:7" ht="15.75">
      <c r="A149" s="13" t="s">
        <v>165</v>
      </c>
      <c r="B149" s="14" t="s">
        <v>163</v>
      </c>
      <c r="C149" s="2" t="s">
        <v>38</v>
      </c>
      <c r="E149" s="4">
        <v>45658</v>
      </c>
      <c r="F149" s="54">
        <v>7833.92</v>
      </c>
      <c r="G149" s="10" t="s">
        <v>17</v>
      </c>
    </row>
    <row r="150" spans="1:7" ht="15.75">
      <c r="A150" s="13" t="s">
        <v>165</v>
      </c>
      <c r="B150" s="14" t="s">
        <v>163</v>
      </c>
      <c r="C150" s="2" t="s">
        <v>38</v>
      </c>
      <c r="E150" s="4">
        <v>45944</v>
      </c>
      <c r="F150" s="54">
        <v>7833.92</v>
      </c>
      <c r="G150" s="10" t="s">
        <v>82</v>
      </c>
    </row>
    <row r="151" spans="1:7" ht="21.75">
      <c r="A151" s="13" t="s">
        <v>166</v>
      </c>
      <c r="B151" s="6" t="s">
        <v>167</v>
      </c>
      <c r="C151" s="2" t="s">
        <v>22</v>
      </c>
      <c r="E151" s="4">
        <v>45658</v>
      </c>
      <c r="F151" s="69">
        <v>27147.64</v>
      </c>
      <c r="G151" s="10" t="s">
        <v>12</v>
      </c>
    </row>
    <row r="152" spans="1:7" ht="15.75">
      <c r="A152" s="26" t="s">
        <v>168</v>
      </c>
      <c r="B152" s="20" t="s">
        <v>167</v>
      </c>
      <c r="C152" s="2" t="s">
        <v>38</v>
      </c>
      <c r="E152" s="4">
        <v>45658</v>
      </c>
      <c r="F152" s="56">
        <v>5293.55</v>
      </c>
      <c r="G152" s="10" t="s">
        <v>12</v>
      </c>
    </row>
    <row r="153" spans="1:7">
      <c r="A153" s="15" t="s">
        <v>169</v>
      </c>
      <c r="B153" s="22" t="s">
        <v>167</v>
      </c>
      <c r="C153" s="17" t="s">
        <v>40</v>
      </c>
      <c r="E153" s="4">
        <v>45658</v>
      </c>
      <c r="F153">
        <f>24743/12</f>
        <v>2061.9166666666665</v>
      </c>
      <c r="G153" s="10" t="s">
        <v>12</v>
      </c>
    </row>
    <row r="154" spans="1:7" ht="14.25">
      <c r="A154" s="13" t="s">
        <v>170</v>
      </c>
      <c r="B154" s="14" t="s">
        <v>119</v>
      </c>
      <c r="C154" s="18" t="s">
        <v>32</v>
      </c>
      <c r="E154" s="4">
        <v>45658</v>
      </c>
      <c r="F154" s="49">
        <v>206.87</v>
      </c>
      <c r="G154" s="10" t="s">
        <v>12</v>
      </c>
    </row>
    <row r="155" spans="1:7" ht="14.25">
      <c r="A155" s="13" t="s">
        <v>171</v>
      </c>
      <c r="B155" s="14" t="s">
        <v>119</v>
      </c>
      <c r="C155" s="18" t="s">
        <v>32</v>
      </c>
      <c r="E155" s="4">
        <v>45658</v>
      </c>
      <c r="F155" s="49">
        <v>657.01</v>
      </c>
      <c r="G155" s="10" t="s">
        <v>12</v>
      </c>
    </row>
    <row r="156" spans="1:7" ht="21.75">
      <c r="A156" s="13" t="s">
        <v>172</v>
      </c>
      <c r="B156" s="14" t="s">
        <v>119</v>
      </c>
      <c r="C156" s="18" t="s">
        <v>22</v>
      </c>
      <c r="E156" s="4">
        <v>45658</v>
      </c>
      <c r="F156" s="49">
        <v>1081.44</v>
      </c>
      <c r="G156" s="10" t="s">
        <v>12</v>
      </c>
    </row>
    <row r="157" spans="1:7" ht="21.75">
      <c r="A157" s="13" t="s">
        <v>173</v>
      </c>
      <c r="B157" s="14" t="s">
        <v>119</v>
      </c>
      <c r="C157" s="18" t="s">
        <v>22</v>
      </c>
      <c r="E157" s="4">
        <v>45658</v>
      </c>
      <c r="F157" s="49">
        <v>1837.8</v>
      </c>
      <c r="G157" s="10" t="s">
        <v>12</v>
      </c>
    </row>
    <row r="158" spans="1:7">
      <c r="A158" s="13" t="s">
        <v>174</v>
      </c>
      <c r="B158" s="14" t="s">
        <v>119</v>
      </c>
      <c r="C158" s="2" t="s">
        <v>38</v>
      </c>
      <c r="E158" s="4">
        <v>45658</v>
      </c>
      <c r="F158" s="52">
        <v>4690.2</v>
      </c>
      <c r="G158" s="10" t="s">
        <v>17</v>
      </c>
    </row>
    <row r="159" spans="1:7">
      <c r="A159" s="13" t="s">
        <v>175</v>
      </c>
      <c r="B159" s="14" t="s">
        <v>119</v>
      </c>
      <c r="C159" s="2" t="s">
        <v>40</v>
      </c>
      <c r="E159" s="4">
        <v>45658</v>
      </c>
      <c r="F159">
        <f>30119/12</f>
        <v>2509.9166666666665</v>
      </c>
      <c r="G159" s="10" t="s">
        <v>12</v>
      </c>
    </row>
    <row r="160" spans="1:7" ht="14.25">
      <c r="A160" s="13" t="s">
        <v>176</v>
      </c>
      <c r="B160" s="14" t="s">
        <v>119</v>
      </c>
      <c r="C160" s="2" t="s">
        <v>177</v>
      </c>
      <c r="E160" s="4">
        <v>45658</v>
      </c>
      <c r="F160" s="49">
        <f>2708432.11/12</f>
        <v>225702.67583333331</v>
      </c>
      <c r="G160" s="10" t="s">
        <v>12</v>
      </c>
    </row>
    <row r="161" spans="1:7" ht="15.75">
      <c r="A161" s="13" t="s">
        <v>176</v>
      </c>
      <c r="B161" s="14" t="s">
        <v>119</v>
      </c>
      <c r="C161" s="2" t="s">
        <v>177</v>
      </c>
      <c r="E161" s="4">
        <v>45756</v>
      </c>
      <c r="F161" s="56">
        <f>2828141.2/12</f>
        <v>235678.43333333335</v>
      </c>
      <c r="G161" t="s">
        <v>178</v>
      </c>
    </row>
    <row r="162" spans="1:7" ht="14.25">
      <c r="A162" s="13" t="s">
        <v>179</v>
      </c>
      <c r="B162" s="14" t="s">
        <v>180</v>
      </c>
      <c r="C162" s="2" t="s">
        <v>32</v>
      </c>
      <c r="E162" s="4">
        <v>45658</v>
      </c>
      <c r="F162" s="49">
        <v>621.55999999999995</v>
      </c>
      <c r="G162" s="10" t="s">
        <v>12</v>
      </c>
    </row>
    <row r="163" spans="1:7" ht="21.75">
      <c r="A163" s="13" t="s">
        <v>181</v>
      </c>
      <c r="B163" s="14" t="s">
        <v>180</v>
      </c>
      <c r="C163" s="2" t="s">
        <v>22</v>
      </c>
      <c r="E163" s="4">
        <v>45658</v>
      </c>
      <c r="F163" s="49">
        <v>6444.53</v>
      </c>
      <c r="G163" s="10" t="s">
        <v>12</v>
      </c>
    </row>
    <row r="164" spans="1:7" ht="15.75">
      <c r="A164" s="13" t="s">
        <v>182</v>
      </c>
      <c r="B164" s="14" t="s">
        <v>180</v>
      </c>
      <c r="C164" s="2" t="s">
        <v>38</v>
      </c>
      <c r="E164" s="4">
        <v>45658</v>
      </c>
      <c r="F164" s="54">
        <v>5586.33</v>
      </c>
      <c r="G164" s="10" t="s">
        <v>17</v>
      </c>
    </row>
    <row r="165" spans="1:7">
      <c r="A165" s="13" t="s">
        <v>183</v>
      </c>
      <c r="B165" s="14" t="s">
        <v>180</v>
      </c>
      <c r="C165" s="18" t="s">
        <v>40</v>
      </c>
      <c r="E165" s="4">
        <v>45658</v>
      </c>
      <c r="F165">
        <f>20435/12</f>
        <v>1702.9166666666667</v>
      </c>
      <c r="G165" s="10" t="s">
        <v>12</v>
      </c>
    </row>
    <row r="166" spans="1:7" ht="14.25">
      <c r="A166" s="13" t="s">
        <v>184</v>
      </c>
      <c r="B166" s="14" t="s">
        <v>185</v>
      </c>
      <c r="C166" s="18" t="s">
        <v>32</v>
      </c>
      <c r="E166" s="4">
        <v>45658</v>
      </c>
      <c r="F166" s="49">
        <v>6032.27</v>
      </c>
      <c r="G166" s="10" t="s">
        <v>12</v>
      </c>
    </row>
    <row r="167" spans="1:7" ht="21.75">
      <c r="A167" s="13" t="s">
        <v>186</v>
      </c>
      <c r="B167" s="14" t="s">
        <v>185</v>
      </c>
      <c r="C167" s="2" t="s">
        <v>187</v>
      </c>
      <c r="E167" s="4">
        <v>45658</v>
      </c>
      <c r="F167" s="49">
        <v>29161.83</v>
      </c>
      <c r="G167" s="10" t="s">
        <v>12</v>
      </c>
    </row>
    <row r="168" spans="1:7">
      <c r="A168" s="13" t="s">
        <v>188</v>
      </c>
      <c r="B168" s="14" t="s">
        <v>185</v>
      </c>
      <c r="C168" s="2" t="s">
        <v>189</v>
      </c>
      <c r="E168" s="4">
        <v>45658</v>
      </c>
      <c r="F168">
        <f>148035.24/12</f>
        <v>12336.269999999999</v>
      </c>
      <c r="G168" s="10" t="s">
        <v>12</v>
      </c>
    </row>
    <row r="169" spans="1:7" ht="15.75">
      <c r="A169" s="13" t="s">
        <v>190</v>
      </c>
      <c r="B169" s="14" t="s">
        <v>185</v>
      </c>
      <c r="C169" s="24" t="s">
        <v>38</v>
      </c>
      <c r="E169" s="4">
        <v>45658</v>
      </c>
      <c r="F169" s="56">
        <v>12449.49</v>
      </c>
      <c r="G169" s="10" t="s">
        <v>12</v>
      </c>
    </row>
    <row r="170" spans="1:7" ht="15.75">
      <c r="A170" s="13" t="s">
        <v>190</v>
      </c>
      <c r="B170" s="14" t="s">
        <v>185</v>
      </c>
      <c r="C170" s="24" t="s">
        <v>38</v>
      </c>
      <c r="D170" s="4">
        <v>45883</v>
      </c>
      <c r="E170" s="4"/>
      <c r="F170" s="56"/>
      <c r="G170" s="10" t="s">
        <v>74</v>
      </c>
    </row>
    <row r="171" spans="1:7">
      <c r="A171" s="13" t="s">
        <v>191</v>
      </c>
      <c r="B171" s="14" t="s">
        <v>185</v>
      </c>
      <c r="C171" s="24" t="s">
        <v>56</v>
      </c>
      <c r="E171" s="4">
        <v>45658</v>
      </c>
      <c r="F171" s="55">
        <v>23787.13</v>
      </c>
      <c r="G171" s="10" t="s">
        <v>17</v>
      </c>
    </row>
    <row r="172" spans="1:7" ht="14.25">
      <c r="A172" s="13" t="s">
        <v>192</v>
      </c>
      <c r="B172" s="6" t="s">
        <v>113</v>
      </c>
      <c r="C172" s="2" t="s">
        <v>32</v>
      </c>
      <c r="E172" s="4">
        <v>45658</v>
      </c>
      <c r="F172" s="69">
        <v>1592.83</v>
      </c>
      <c r="G172" s="10" t="s">
        <v>12</v>
      </c>
    </row>
    <row r="173" spans="1:7" ht="21.75">
      <c r="A173" s="13" t="s">
        <v>193</v>
      </c>
      <c r="B173" s="6" t="s">
        <v>113</v>
      </c>
      <c r="C173" s="2" t="s">
        <v>22</v>
      </c>
      <c r="E173" s="4">
        <v>45658</v>
      </c>
      <c r="F173" s="69">
        <v>24411.24</v>
      </c>
      <c r="G173" s="10" t="s">
        <v>12</v>
      </c>
    </row>
    <row r="174" spans="1:7">
      <c r="A174" s="13" t="s">
        <v>194</v>
      </c>
      <c r="B174" s="6" t="s">
        <v>113</v>
      </c>
      <c r="C174" s="2" t="s">
        <v>38</v>
      </c>
      <c r="E174" s="4">
        <v>45658</v>
      </c>
      <c r="F174" s="52">
        <v>18149.55</v>
      </c>
      <c r="G174" s="10" t="s">
        <v>17</v>
      </c>
    </row>
    <row r="175" spans="1:7">
      <c r="A175" s="13" t="s">
        <v>194</v>
      </c>
      <c r="B175" s="6" t="s">
        <v>113</v>
      </c>
      <c r="C175" s="2" t="s">
        <v>38</v>
      </c>
      <c r="E175" s="4">
        <v>45944</v>
      </c>
      <c r="F175" s="52">
        <v>18149.55</v>
      </c>
      <c r="G175" s="10" t="s">
        <v>82</v>
      </c>
    </row>
    <row r="176" spans="1:7" ht="21.75">
      <c r="A176" s="13" t="s">
        <v>195</v>
      </c>
      <c r="B176" s="14" t="s">
        <v>113</v>
      </c>
      <c r="C176" s="2" t="s">
        <v>196</v>
      </c>
      <c r="E176" s="4">
        <v>45658</v>
      </c>
      <c r="F176">
        <f>6398/12</f>
        <v>533.16666666666663</v>
      </c>
      <c r="G176" s="10" t="s">
        <v>12</v>
      </c>
    </row>
    <row r="177" spans="1:7" ht="15.75">
      <c r="A177" s="13" t="s">
        <v>197</v>
      </c>
      <c r="B177" s="14" t="s">
        <v>113</v>
      </c>
      <c r="C177" s="2" t="s">
        <v>132</v>
      </c>
      <c r="E177" s="4">
        <v>45658</v>
      </c>
      <c r="F177" s="56">
        <v>1394.32</v>
      </c>
      <c r="G177" s="10" t="s">
        <v>12</v>
      </c>
    </row>
    <row r="178" spans="1:7" ht="15.75">
      <c r="A178" s="13" t="s">
        <v>197</v>
      </c>
      <c r="B178" s="14" t="s">
        <v>113</v>
      </c>
      <c r="C178" s="2" t="s">
        <v>132</v>
      </c>
      <c r="E178" s="4">
        <v>45772</v>
      </c>
      <c r="F178" s="57">
        <v>1470.69</v>
      </c>
      <c r="G178" s="10" t="s">
        <v>198</v>
      </c>
    </row>
    <row r="179" spans="1:7" ht="14.25">
      <c r="A179" s="13" t="s">
        <v>199</v>
      </c>
      <c r="B179" s="6" t="s">
        <v>200</v>
      </c>
      <c r="C179" s="18" t="s">
        <v>32</v>
      </c>
      <c r="E179" s="4">
        <v>45658</v>
      </c>
      <c r="F179" s="69">
        <v>5978.97</v>
      </c>
      <c r="G179" s="10" t="s">
        <v>12</v>
      </c>
    </row>
    <row r="180" spans="1:7" ht="21.75">
      <c r="A180" s="13" t="s">
        <v>201</v>
      </c>
      <c r="B180" s="6" t="s">
        <v>200</v>
      </c>
      <c r="C180" s="18" t="s">
        <v>22</v>
      </c>
      <c r="E180" s="4">
        <v>45658</v>
      </c>
      <c r="F180" s="69">
        <v>17105.38</v>
      </c>
      <c r="G180" s="10" t="s">
        <v>12</v>
      </c>
    </row>
    <row r="181" spans="1:7">
      <c r="A181" s="13" t="s">
        <v>202</v>
      </c>
      <c r="B181" s="6" t="s">
        <v>200</v>
      </c>
      <c r="C181" s="2" t="s">
        <v>40</v>
      </c>
      <c r="E181" s="4">
        <v>45770</v>
      </c>
      <c r="F181">
        <f>82770/12</f>
        <v>6897.5</v>
      </c>
      <c r="G181" s="10" t="s">
        <v>12</v>
      </c>
    </row>
    <row r="182" spans="1:7">
      <c r="A182" s="13" t="s">
        <v>203</v>
      </c>
      <c r="B182" s="6" t="s">
        <v>204</v>
      </c>
      <c r="C182" s="2" t="s">
        <v>38</v>
      </c>
      <c r="E182" s="4">
        <v>45658</v>
      </c>
      <c r="F182" s="52">
        <v>5994.34</v>
      </c>
      <c r="G182" s="10" t="s">
        <v>12</v>
      </c>
    </row>
    <row r="183" spans="1:7">
      <c r="A183" s="13" t="s">
        <v>203</v>
      </c>
      <c r="B183" s="6" t="s">
        <v>204</v>
      </c>
      <c r="C183" s="2" t="s">
        <v>38</v>
      </c>
      <c r="E183" s="4">
        <v>45717</v>
      </c>
      <c r="F183" s="52">
        <v>6032.21</v>
      </c>
      <c r="G183" s="10" t="s">
        <v>17</v>
      </c>
    </row>
    <row r="184" spans="1:7">
      <c r="A184" s="13" t="s">
        <v>205</v>
      </c>
      <c r="B184" s="6" t="s">
        <v>204</v>
      </c>
      <c r="C184" s="2" t="s">
        <v>32</v>
      </c>
      <c r="E184" s="4">
        <v>45658</v>
      </c>
      <c r="F184" s="50">
        <v>355.15</v>
      </c>
      <c r="G184" s="10" t="s">
        <v>12</v>
      </c>
    </row>
    <row r="185" spans="1:7" ht="21.75">
      <c r="A185" s="13" t="s">
        <v>206</v>
      </c>
      <c r="B185" s="6" t="s">
        <v>204</v>
      </c>
      <c r="C185" s="2" t="s">
        <v>22</v>
      </c>
      <c r="E185" s="4">
        <v>45658</v>
      </c>
      <c r="F185" s="50">
        <v>2863.41</v>
      </c>
      <c r="G185" s="10" t="s">
        <v>12</v>
      </c>
    </row>
    <row r="186" spans="1:7">
      <c r="A186" s="13" t="s">
        <v>207</v>
      </c>
      <c r="B186" s="6" t="s">
        <v>204</v>
      </c>
      <c r="C186" s="2" t="s">
        <v>40</v>
      </c>
      <c r="E186" s="4">
        <v>45658</v>
      </c>
      <c r="F186">
        <f>25928.15/12</f>
        <v>2160.6791666666668</v>
      </c>
      <c r="G186" s="10" t="s">
        <v>12</v>
      </c>
    </row>
    <row r="187" spans="1:7" ht="14.25">
      <c r="A187" s="13" t="s">
        <v>208</v>
      </c>
      <c r="B187" s="14" t="s">
        <v>209</v>
      </c>
      <c r="C187" s="18" t="s">
        <v>32</v>
      </c>
      <c r="E187" s="4">
        <v>45658</v>
      </c>
      <c r="F187" s="49">
        <v>1970.28</v>
      </c>
      <c r="G187" s="10" t="s">
        <v>12</v>
      </c>
    </row>
    <row r="188" spans="1:7" ht="21.75">
      <c r="A188" s="13" t="s">
        <v>210</v>
      </c>
      <c r="B188" s="14" t="s">
        <v>209</v>
      </c>
      <c r="C188" s="18" t="s">
        <v>22</v>
      </c>
      <c r="E188" s="4">
        <v>45658</v>
      </c>
      <c r="F188" s="49">
        <v>3489.65</v>
      </c>
      <c r="G188" s="10" t="s">
        <v>12</v>
      </c>
    </row>
    <row r="189" spans="1:7" ht="15.75">
      <c r="A189" s="13" t="s">
        <v>211</v>
      </c>
      <c r="B189" s="6" t="s">
        <v>209</v>
      </c>
      <c r="C189" s="2" t="s">
        <v>38</v>
      </c>
      <c r="E189" s="4">
        <v>45347</v>
      </c>
      <c r="F189" s="54">
        <v>5139.0200000000004</v>
      </c>
      <c r="G189" s="10" t="s">
        <v>118</v>
      </c>
    </row>
    <row r="190" spans="1:7">
      <c r="A190" s="13" t="s">
        <v>212</v>
      </c>
      <c r="B190" s="14" t="s">
        <v>209</v>
      </c>
      <c r="C190" s="18" t="s">
        <v>40</v>
      </c>
      <c r="E190" s="4">
        <v>45708</v>
      </c>
      <c r="F190">
        <f>54208.77/12</f>
        <v>4517.3975</v>
      </c>
      <c r="G190" s="10" t="s">
        <v>12</v>
      </c>
    </row>
    <row r="191" spans="1:7">
      <c r="A191" s="13" t="s">
        <v>213</v>
      </c>
      <c r="B191" s="14" t="s">
        <v>209</v>
      </c>
      <c r="C191" s="2" t="s">
        <v>132</v>
      </c>
      <c r="E191" s="4">
        <v>45658</v>
      </c>
      <c r="F191">
        <f>20400/12</f>
        <v>1700</v>
      </c>
      <c r="G191" s="10" t="s">
        <v>12</v>
      </c>
    </row>
    <row r="192" spans="1:7" ht="17.25">
      <c r="A192" s="13" t="s">
        <v>214</v>
      </c>
      <c r="B192" s="14" t="s">
        <v>209</v>
      </c>
      <c r="C192" s="2" t="s">
        <v>44</v>
      </c>
      <c r="E192" s="4">
        <v>45658</v>
      </c>
      <c r="F192" s="58">
        <v>11423.18</v>
      </c>
      <c r="G192" s="10" t="s">
        <v>17</v>
      </c>
    </row>
    <row r="193" spans="1:7" ht="180.75">
      <c r="A193" s="13" t="s">
        <v>215</v>
      </c>
      <c r="B193" s="14" t="s">
        <v>216</v>
      </c>
      <c r="C193" s="2" t="s">
        <v>217</v>
      </c>
      <c r="E193" s="4">
        <v>45437</v>
      </c>
      <c r="F193" s="56">
        <v>19339.189999999999</v>
      </c>
      <c r="G193" s="10" t="s">
        <v>118</v>
      </c>
    </row>
    <row r="194" spans="1:7" ht="191.25">
      <c r="A194" s="13" t="s">
        <v>215</v>
      </c>
      <c r="B194" s="14" t="s">
        <v>218</v>
      </c>
      <c r="C194" s="2" t="s">
        <v>217</v>
      </c>
      <c r="D194" s="4">
        <v>45701</v>
      </c>
      <c r="E194" s="4"/>
      <c r="F194" s="56"/>
      <c r="G194" s="10" t="s">
        <v>74</v>
      </c>
    </row>
    <row r="195" spans="1:7" ht="14.25">
      <c r="A195" s="13" t="s">
        <v>144</v>
      </c>
      <c r="B195" s="14" t="s">
        <v>114</v>
      </c>
      <c r="C195" s="2" t="s">
        <v>32</v>
      </c>
      <c r="E195" s="4">
        <v>45658</v>
      </c>
      <c r="F195" s="49">
        <v>369.73</v>
      </c>
      <c r="G195" t="s">
        <v>12</v>
      </c>
    </row>
    <row r="196" spans="1:7" ht="21.75">
      <c r="A196" s="13" t="s">
        <v>219</v>
      </c>
      <c r="B196" s="14" t="s">
        <v>114</v>
      </c>
      <c r="C196" s="2" t="s">
        <v>22</v>
      </c>
      <c r="E196" s="4">
        <v>45658</v>
      </c>
      <c r="F196" s="49">
        <v>2671.03</v>
      </c>
      <c r="G196" t="s">
        <v>12</v>
      </c>
    </row>
    <row r="197" spans="1:7" ht="15.75">
      <c r="A197" s="13" t="s">
        <v>220</v>
      </c>
      <c r="B197" s="6" t="s">
        <v>114</v>
      </c>
      <c r="C197" s="2" t="s">
        <v>38</v>
      </c>
      <c r="E197" s="4">
        <v>45292</v>
      </c>
      <c r="F197" s="53">
        <v>4083.53</v>
      </c>
      <c r="G197" s="10" t="s">
        <v>118</v>
      </c>
    </row>
    <row r="198" spans="1:7">
      <c r="A198" s="13" t="s">
        <v>221</v>
      </c>
      <c r="B198" s="14" t="s">
        <v>222</v>
      </c>
      <c r="C198" s="2" t="s">
        <v>44</v>
      </c>
      <c r="E198" s="4">
        <v>45658</v>
      </c>
      <c r="F198" s="52">
        <v>11712.55</v>
      </c>
      <c r="G198" t="s">
        <v>12</v>
      </c>
    </row>
    <row r="199" spans="1:7">
      <c r="A199" s="13" t="s">
        <v>221</v>
      </c>
      <c r="B199" s="14" t="s">
        <v>223</v>
      </c>
      <c r="C199" s="2" t="s">
        <v>44</v>
      </c>
      <c r="E199" s="4">
        <v>45658</v>
      </c>
      <c r="F199" s="52">
        <v>22887.01</v>
      </c>
      <c r="G199" t="s">
        <v>12</v>
      </c>
    </row>
    <row r="200" spans="1:7">
      <c r="A200" s="13" t="s">
        <v>221</v>
      </c>
      <c r="B200" s="14" t="s">
        <v>224</v>
      </c>
      <c r="C200" s="2" t="s">
        <v>44</v>
      </c>
      <c r="E200" s="4">
        <v>45658</v>
      </c>
      <c r="F200" s="52">
        <v>11460.9</v>
      </c>
      <c r="G200" t="s">
        <v>12</v>
      </c>
    </row>
    <row r="201" spans="1:7">
      <c r="A201" s="13" t="s">
        <v>221</v>
      </c>
      <c r="B201" s="14" t="s">
        <v>222</v>
      </c>
      <c r="C201" s="2" t="s">
        <v>44</v>
      </c>
      <c r="E201" s="4">
        <v>45689</v>
      </c>
      <c r="F201" s="52">
        <v>12513.03</v>
      </c>
      <c r="G201" s="10" t="s">
        <v>17</v>
      </c>
    </row>
    <row r="202" spans="1:7">
      <c r="A202" s="13" t="s">
        <v>221</v>
      </c>
      <c r="B202" s="14" t="s">
        <v>223</v>
      </c>
      <c r="C202" s="2" t="s">
        <v>44</v>
      </c>
      <c r="E202" s="4">
        <v>45689</v>
      </c>
      <c r="F202" s="52">
        <v>24402.54</v>
      </c>
      <c r="G202" s="10" t="s">
        <v>17</v>
      </c>
    </row>
    <row r="203" spans="1:7">
      <c r="A203" s="13" t="s">
        <v>221</v>
      </c>
      <c r="B203" s="14" t="s">
        <v>224</v>
      </c>
      <c r="C203" s="2" t="s">
        <v>44</v>
      </c>
      <c r="E203" s="4">
        <v>45689</v>
      </c>
      <c r="F203" s="52">
        <v>12222</v>
      </c>
      <c r="G203" s="10" t="s">
        <v>17</v>
      </c>
    </row>
    <row r="204" spans="1:7">
      <c r="A204" s="13" t="s">
        <v>225</v>
      </c>
      <c r="B204" s="6" t="s">
        <v>226</v>
      </c>
      <c r="C204" s="18" t="s">
        <v>32</v>
      </c>
      <c r="E204" s="4">
        <v>45658</v>
      </c>
      <c r="F204" s="48">
        <v>303.02</v>
      </c>
      <c r="G204" t="s">
        <v>12</v>
      </c>
    </row>
    <row r="205" spans="1:7">
      <c r="A205" s="13" t="s">
        <v>227</v>
      </c>
      <c r="B205" s="14" t="s">
        <v>226</v>
      </c>
      <c r="C205" s="2" t="s">
        <v>40</v>
      </c>
      <c r="E205" s="4">
        <v>45658</v>
      </c>
      <c r="F205" s="59">
        <v>1633.58</v>
      </c>
      <c r="G205" t="s">
        <v>12</v>
      </c>
    </row>
    <row r="206" spans="1:7" ht="21.75">
      <c r="A206" s="13" t="s">
        <v>228</v>
      </c>
      <c r="B206" s="14" t="s">
        <v>226</v>
      </c>
      <c r="C206" s="2" t="s">
        <v>22</v>
      </c>
      <c r="E206" s="4">
        <v>45658</v>
      </c>
      <c r="F206" s="48">
        <v>4037.38</v>
      </c>
      <c r="G206" t="s">
        <v>12</v>
      </c>
    </row>
    <row r="207" spans="1:7">
      <c r="A207" s="13" t="s">
        <v>229</v>
      </c>
      <c r="B207" s="14" t="s">
        <v>226</v>
      </c>
      <c r="C207" s="2" t="s">
        <v>38</v>
      </c>
      <c r="E207" s="4">
        <v>45658</v>
      </c>
      <c r="F207" s="55">
        <v>5296.44</v>
      </c>
      <c r="G207" t="s">
        <v>12</v>
      </c>
    </row>
    <row r="208" spans="1:7">
      <c r="A208" s="13" t="s">
        <v>229</v>
      </c>
      <c r="B208" s="14" t="s">
        <v>226</v>
      </c>
      <c r="C208" s="2" t="s">
        <v>38</v>
      </c>
      <c r="E208" s="4">
        <v>45698</v>
      </c>
      <c r="F208" s="55">
        <v>5301.72</v>
      </c>
      <c r="G208" t="s">
        <v>17</v>
      </c>
    </row>
    <row r="209" spans="1:7" ht="21.75">
      <c r="A209" s="13" t="s">
        <v>230</v>
      </c>
      <c r="B209" s="27" t="s">
        <v>231</v>
      </c>
      <c r="C209" s="2" t="s">
        <v>22</v>
      </c>
      <c r="E209" s="4">
        <v>45658</v>
      </c>
      <c r="F209" s="69">
        <v>4322.76</v>
      </c>
      <c r="G209" t="s">
        <v>12</v>
      </c>
    </row>
    <row r="210" spans="1:7" ht="15.75">
      <c r="A210" s="13" t="s">
        <v>232</v>
      </c>
      <c r="B210" s="14" t="s">
        <v>231</v>
      </c>
      <c r="C210" s="2" t="s">
        <v>38</v>
      </c>
      <c r="E210" s="4">
        <v>45658</v>
      </c>
      <c r="F210" s="54">
        <v>5191.66</v>
      </c>
      <c r="G210" t="s">
        <v>12</v>
      </c>
    </row>
    <row r="211" spans="1:7" ht="15.75">
      <c r="A211" s="13" t="s">
        <v>232</v>
      </c>
      <c r="B211" s="14" t="s">
        <v>231</v>
      </c>
      <c r="C211" s="2" t="s">
        <v>38</v>
      </c>
      <c r="E211" s="4">
        <v>45698</v>
      </c>
      <c r="F211" s="54">
        <v>5197.1499999999996</v>
      </c>
      <c r="G211" t="s">
        <v>17</v>
      </c>
    </row>
    <row r="212" spans="1:7" ht="14.25">
      <c r="A212" s="13" t="s">
        <v>233</v>
      </c>
      <c r="B212" s="14" t="s">
        <v>234</v>
      </c>
      <c r="C212" s="18" t="s">
        <v>32</v>
      </c>
      <c r="E212" s="4">
        <v>45658</v>
      </c>
      <c r="F212" s="49">
        <v>310.27999999999997</v>
      </c>
      <c r="G212" t="s">
        <v>12</v>
      </c>
    </row>
    <row r="213" spans="1:7" ht="21.75">
      <c r="A213" s="13" t="s">
        <v>235</v>
      </c>
      <c r="B213" s="14" t="s">
        <v>234</v>
      </c>
      <c r="C213" s="18" t="s">
        <v>22</v>
      </c>
      <c r="E213" s="4">
        <v>45658</v>
      </c>
      <c r="F213" s="49">
        <v>6839.37</v>
      </c>
      <c r="G213" t="s">
        <v>12</v>
      </c>
    </row>
    <row r="214" spans="1:7" ht="15.75">
      <c r="A214" s="13" t="s">
        <v>236</v>
      </c>
      <c r="B214" s="14" t="s">
        <v>234</v>
      </c>
      <c r="C214" s="2" t="s">
        <v>38</v>
      </c>
      <c r="E214" s="4">
        <v>45698</v>
      </c>
      <c r="F214" s="57">
        <v>4443.1000000000004</v>
      </c>
      <c r="G214" t="s">
        <v>12</v>
      </c>
    </row>
    <row r="215" spans="1:7" ht="21.75">
      <c r="A215" s="13" t="s">
        <v>237</v>
      </c>
      <c r="B215" s="6" t="s">
        <v>222</v>
      </c>
      <c r="C215" s="18" t="s">
        <v>22</v>
      </c>
      <c r="E215" s="4">
        <v>45658</v>
      </c>
      <c r="F215" s="48">
        <v>5672.69</v>
      </c>
      <c r="G215" t="s">
        <v>12</v>
      </c>
    </row>
    <row r="216" spans="1:7" ht="15.75">
      <c r="A216" s="13" t="s">
        <v>238</v>
      </c>
      <c r="B216" s="6" t="s">
        <v>222</v>
      </c>
      <c r="C216" s="2" t="s">
        <v>38</v>
      </c>
      <c r="E216" s="4">
        <v>45658</v>
      </c>
      <c r="F216" s="57">
        <v>4896.04</v>
      </c>
      <c r="G216" t="s">
        <v>17</v>
      </c>
    </row>
    <row r="217" spans="1:7">
      <c r="A217" s="13" t="s">
        <v>239</v>
      </c>
      <c r="B217" s="14" t="s">
        <v>222</v>
      </c>
      <c r="C217" s="2" t="s">
        <v>40</v>
      </c>
      <c r="E217" s="4">
        <v>45658</v>
      </c>
      <c r="F217">
        <f>5908.39/12</f>
        <v>492.36583333333334</v>
      </c>
      <c r="G217" t="s">
        <v>12</v>
      </c>
    </row>
    <row r="218" spans="1:7" ht="14.25">
      <c r="A218" s="13" t="s">
        <v>240</v>
      </c>
      <c r="B218" s="14" t="s">
        <v>241</v>
      </c>
      <c r="C218" s="18" t="s">
        <v>32</v>
      </c>
      <c r="E218" s="4">
        <v>45658</v>
      </c>
      <c r="F218" s="49">
        <v>2602.31</v>
      </c>
      <c r="G218" t="s">
        <v>12</v>
      </c>
    </row>
    <row r="219" spans="1:7" ht="21.75">
      <c r="A219" s="13" t="s">
        <v>242</v>
      </c>
      <c r="B219" s="14" t="s">
        <v>241</v>
      </c>
      <c r="C219" s="18" t="s">
        <v>22</v>
      </c>
      <c r="E219" s="4">
        <v>45658</v>
      </c>
      <c r="F219" s="49">
        <v>8439.35</v>
      </c>
      <c r="G219" t="s">
        <v>12</v>
      </c>
    </row>
    <row r="220" spans="1:7" ht="15.75">
      <c r="A220" s="13" t="s">
        <v>243</v>
      </c>
      <c r="B220" s="6" t="s">
        <v>241</v>
      </c>
      <c r="C220" s="2" t="s">
        <v>38</v>
      </c>
      <c r="E220" s="4">
        <v>45658</v>
      </c>
      <c r="F220" s="54">
        <v>13460.64</v>
      </c>
      <c r="G220" t="s">
        <v>12</v>
      </c>
    </row>
    <row r="221" spans="1:7" ht="15.75">
      <c r="A221" s="13" t="s">
        <v>243</v>
      </c>
      <c r="B221" s="6" t="s">
        <v>241</v>
      </c>
      <c r="C221" s="2" t="s">
        <v>38</v>
      </c>
      <c r="E221" s="4">
        <v>45689</v>
      </c>
      <c r="F221" s="54">
        <v>14386.78</v>
      </c>
      <c r="G221" t="s">
        <v>17</v>
      </c>
    </row>
    <row r="222" spans="1:7">
      <c r="A222" s="13" t="s">
        <v>244</v>
      </c>
      <c r="B222" s="14" t="s">
        <v>241</v>
      </c>
      <c r="C222" s="2" t="s">
        <v>132</v>
      </c>
      <c r="E222" s="4">
        <v>45658</v>
      </c>
      <c r="F222">
        <f>10767.13/12</f>
        <v>897.26083333333327</v>
      </c>
      <c r="G222" t="s">
        <v>12</v>
      </c>
    </row>
    <row r="223" spans="1:7">
      <c r="A223" s="13" t="s">
        <v>244</v>
      </c>
      <c r="B223" s="14" t="s">
        <v>241</v>
      </c>
      <c r="C223" s="2" t="s">
        <v>132</v>
      </c>
      <c r="E223" s="4">
        <v>45748</v>
      </c>
      <c r="F223">
        <f>11356.87/12</f>
        <v>946.40583333333336</v>
      </c>
      <c r="G223" t="s">
        <v>198</v>
      </c>
    </row>
    <row r="224" spans="1:7" ht="14.25">
      <c r="A224" s="13" t="s">
        <v>245</v>
      </c>
      <c r="B224" s="6" t="s">
        <v>223</v>
      </c>
      <c r="C224" s="18" t="s">
        <v>32</v>
      </c>
      <c r="E224" s="4">
        <v>45658</v>
      </c>
      <c r="F224" s="49">
        <v>257.60000000000002</v>
      </c>
      <c r="G224" t="s">
        <v>12</v>
      </c>
    </row>
    <row r="225" spans="1:7" ht="14.25">
      <c r="A225" s="13" t="s">
        <v>246</v>
      </c>
      <c r="B225" s="6" t="s">
        <v>223</v>
      </c>
      <c r="C225" s="18" t="s">
        <v>32</v>
      </c>
      <c r="E225" s="4">
        <v>45658</v>
      </c>
      <c r="F225" s="49">
        <v>2068.5300000000002</v>
      </c>
      <c r="G225" t="s">
        <v>12</v>
      </c>
    </row>
    <row r="226" spans="1:7" ht="21.75">
      <c r="A226" s="13" t="s">
        <v>247</v>
      </c>
      <c r="B226" s="6" t="s">
        <v>223</v>
      </c>
      <c r="C226" s="18" t="s">
        <v>22</v>
      </c>
      <c r="E226" s="4">
        <v>45658</v>
      </c>
      <c r="F226" s="69">
        <v>353.73</v>
      </c>
      <c r="G226" t="s">
        <v>12</v>
      </c>
    </row>
    <row r="227" spans="1:7">
      <c r="A227" s="15" t="s">
        <v>248</v>
      </c>
      <c r="B227" s="14" t="s">
        <v>223</v>
      </c>
      <c r="C227" s="19" t="s">
        <v>38</v>
      </c>
      <c r="E227" s="4">
        <v>45658</v>
      </c>
      <c r="F227" s="55">
        <v>10242.42</v>
      </c>
      <c r="G227" t="s">
        <v>17</v>
      </c>
    </row>
    <row r="228" spans="1:7">
      <c r="A228" s="13" t="s">
        <v>249</v>
      </c>
      <c r="B228" s="14" t="s">
        <v>223</v>
      </c>
      <c r="C228" s="18" t="s">
        <v>40</v>
      </c>
      <c r="E228" s="4">
        <v>45658</v>
      </c>
      <c r="F228">
        <f>33064/12</f>
        <v>2755.3333333333335</v>
      </c>
      <c r="G228" t="s">
        <v>12</v>
      </c>
    </row>
    <row r="229" spans="1:7">
      <c r="A229" s="13" t="s">
        <v>250</v>
      </c>
      <c r="B229" s="14" t="s">
        <v>223</v>
      </c>
      <c r="C229" s="2" t="s">
        <v>132</v>
      </c>
      <c r="E229" s="4">
        <v>45658</v>
      </c>
      <c r="F229">
        <f>21826.33/12</f>
        <v>1818.8608333333334</v>
      </c>
      <c r="G229" t="s">
        <v>12</v>
      </c>
    </row>
    <row r="230" spans="1:7">
      <c r="A230" s="13" t="s">
        <v>250</v>
      </c>
      <c r="B230" s="14" t="s">
        <v>223</v>
      </c>
      <c r="C230" s="2" t="s">
        <v>132</v>
      </c>
      <c r="E230" s="4">
        <v>45786</v>
      </c>
      <c r="F230">
        <f>23033.27/12</f>
        <v>1919.4391666666668</v>
      </c>
      <c r="G230" t="s">
        <v>198</v>
      </c>
    </row>
    <row r="231" spans="1:7">
      <c r="A231" s="13" t="s">
        <v>251</v>
      </c>
      <c r="B231" s="14" t="s">
        <v>252</v>
      </c>
      <c r="C231" s="18" t="s">
        <v>32</v>
      </c>
      <c r="E231" s="4">
        <v>45658</v>
      </c>
      <c r="F231" s="48">
        <v>624.13</v>
      </c>
      <c r="G231" t="s">
        <v>12</v>
      </c>
    </row>
    <row r="232" spans="1:7" ht="21.75">
      <c r="A232" s="13" t="s">
        <v>253</v>
      </c>
      <c r="B232" s="14" t="s">
        <v>252</v>
      </c>
      <c r="C232" s="18" t="s">
        <v>22</v>
      </c>
      <c r="E232" s="4">
        <v>45658</v>
      </c>
      <c r="F232" s="48">
        <v>10806.17</v>
      </c>
      <c r="G232" t="s">
        <v>12</v>
      </c>
    </row>
    <row r="233" spans="1:7">
      <c r="A233" s="13" t="s">
        <v>254</v>
      </c>
      <c r="B233" s="14" t="s">
        <v>252</v>
      </c>
      <c r="C233" s="2" t="s">
        <v>38</v>
      </c>
      <c r="E233" s="4">
        <v>45658</v>
      </c>
      <c r="F233" s="55">
        <v>10131.01</v>
      </c>
      <c r="G233" t="s">
        <v>17</v>
      </c>
    </row>
    <row r="234" spans="1:7">
      <c r="A234" s="13" t="s">
        <v>255</v>
      </c>
      <c r="B234" s="14" t="s">
        <v>252</v>
      </c>
      <c r="C234" s="18" t="s">
        <v>40</v>
      </c>
      <c r="E234" s="4">
        <v>45658</v>
      </c>
      <c r="F234">
        <f>34403/12</f>
        <v>2866.9166666666665</v>
      </c>
      <c r="G234" t="s">
        <v>12</v>
      </c>
    </row>
    <row r="235" spans="1:7">
      <c r="A235" s="13" t="s">
        <v>256</v>
      </c>
      <c r="B235" s="14" t="s">
        <v>252</v>
      </c>
      <c r="C235" s="2" t="s">
        <v>132</v>
      </c>
      <c r="E235" s="4">
        <v>45532</v>
      </c>
      <c r="F235">
        <f>1541.35</f>
        <v>1541.35</v>
      </c>
      <c r="G235" t="s">
        <v>257</v>
      </c>
    </row>
    <row r="236" spans="1:7">
      <c r="A236" s="13" t="s">
        <v>258</v>
      </c>
      <c r="B236" s="6" t="s">
        <v>224</v>
      </c>
      <c r="C236" s="18" t="s">
        <v>32</v>
      </c>
      <c r="E236" s="4">
        <v>45658</v>
      </c>
      <c r="F236" s="48">
        <v>657.07</v>
      </c>
      <c r="G236" t="s">
        <v>12</v>
      </c>
    </row>
    <row r="237" spans="1:7" ht="21.75">
      <c r="A237" s="13" t="s">
        <v>259</v>
      </c>
      <c r="B237" s="6" t="s">
        <v>224</v>
      </c>
      <c r="C237" s="18" t="s">
        <v>22</v>
      </c>
      <c r="E237" s="4">
        <v>45658</v>
      </c>
      <c r="F237" s="48">
        <v>5144.9383333333299</v>
      </c>
      <c r="G237" t="s">
        <v>12</v>
      </c>
    </row>
    <row r="238" spans="1:7" ht="21.75">
      <c r="A238" s="13" t="s">
        <v>260</v>
      </c>
      <c r="B238" s="6" t="s">
        <v>224</v>
      </c>
      <c r="C238" s="18" t="s">
        <v>22</v>
      </c>
      <c r="E238" s="4">
        <v>45701</v>
      </c>
      <c r="F238" s="48">
        <v>1208.0291666666601</v>
      </c>
      <c r="G238" t="s">
        <v>12</v>
      </c>
    </row>
    <row r="239" spans="1:7" ht="15.75">
      <c r="A239" s="13" t="s">
        <v>261</v>
      </c>
      <c r="B239" s="14" t="s">
        <v>224</v>
      </c>
      <c r="C239" s="2" t="s">
        <v>38</v>
      </c>
      <c r="E239" s="4">
        <v>45658</v>
      </c>
      <c r="F239" s="54">
        <v>5482.28</v>
      </c>
      <c r="G239" t="s">
        <v>17</v>
      </c>
    </row>
    <row r="240" spans="1:7">
      <c r="A240" s="13" t="s">
        <v>262</v>
      </c>
      <c r="B240" s="14" t="s">
        <v>224</v>
      </c>
      <c r="C240" s="18" t="s">
        <v>40</v>
      </c>
      <c r="E240" s="4">
        <v>45658</v>
      </c>
      <c r="F240">
        <f>31617/12</f>
        <v>2634.75</v>
      </c>
      <c r="G240" t="s">
        <v>12</v>
      </c>
    </row>
    <row r="241" spans="1:7">
      <c r="A241" s="13" t="s">
        <v>263</v>
      </c>
      <c r="B241" s="14" t="s">
        <v>224</v>
      </c>
      <c r="C241" s="2" t="s">
        <v>132</v>
      </c>
      <c r="E241" s="4">
        <v>45658</v>
      </c>
      <c r="F241">
        <f>10800/12</f>
        <v>900</v>
      </c>
      <c r="G241" t="s">
        <v>12</v>
      </c>
    </row>
    <row r="242" spans="1:7" ht="14.25">
      <c r="A242" s="13" t="s">
        <v>264</v>
      </c>
      <c r="B242" s="6" t="s">
        <v>265</v>
      </c>
      <c r="C242" s="18" t="s">
        <v>32</v>
      </c>
      <c r="E242" s="4">
        <v>45658</v>
      </c>
      <c r="F242" s="69">
        <v>353.4</v>
      </c>
      <c r="G242" t="s">
        <v>12</v>
      </c>
    </row>
    <row r="243" spans="1:7" ht="21.75">
      <c r="A243" s="13" t="s">
        <v>266</v>
      </c>
      <c r="B243" s="6" t="s">
        <v>265</v>
      </c>
      <c r="C243" s="18" t="s">
        <v>22</v>
      </c>
      <c r="E243" s="4">
        <v>45658</v>
      </c>
      <c r="F243" s="69">
        <v>3336.51</v>
      </c>
      <c r="G243" t="s">
        <v>12</v>
      </c>
    </row>
    <row r="244" spans="1:7" ht="15.75">
      <c r="A244" s="13" t="s">
        <v>267</v>
      </c>
      <c r="B244" s="6" t="s">
        <v>265</v>
      </c>
      <c r="C244" s="2" t="s">
        <v>38</v>
      </c>
      <c r="E244" s="4">
        <v>45658</v>
      </c>
      <c r="F244" s="54">
        <v>4370.97</v>
      </c>
      <c r="G244" t="s">
        <v>12</v>
      </c>
    </row>
    <row r="245" spans="1:7" ht="15.75">
      <c r="A245" s="13" t="s">
        <v>267</v>
      </c>
      <c r="B245" s="6" t="s">
        <v>265</v>
      </c>
      <c r="C245" s="2" t="s">
        <v>38</v>
      </c>
      <c r="E245" s="4">
        <v>45689</v>
      </c>
      <c r="F245" s="54">
        <v>4688.5</v>
      </c>
      <c r="G245" t="s">
        <v>17</v>
      </c>
    </row>
    <row r="246" spans="1:7">
      <c r="A246" s="13" t="s">
        <v>268</v>
      </c>
      <c r="B246" s="6" t="s">
        <v>265</v>
      </c>
      <c r="C246" s="18" t="s">
        <v>40</v>
      </c>
      <c r="E246" s="4">
        <v>45658</v>
      </c>
      <c r="F246">
        <f>36522/12</f>
        <v>3043.5</v>
      </c>
      <c r="G246" t="s">
        <v>12</v>
      </c>
    </row>
    <row r="247" spans="1:7">
      <c r="A247" s="13" t="s">
        <v>269</v>
      </c>
      <c r="B247" s="6" t="s">
        <v>270</v>
      </c>
      <c r="C247" s="18" t="s">
        <v>32</v>
      </c>
      <c r="E247" s="4">
        <v>45658</v>
      </c>
      <c r="F247" s="48">
        <v>625.36</v>
      </c>
      <c r="G247" t="s">
        <v>12</v>
      </c>
    </row>
    <row r="248" spans="1:7" ht="21.75">
      <c r="A248" s="13" t="s">
        <v>271</v>
      </c>
      <c r="B248" s="6" t="s">
        <v>270</v>
      </c>
      <c r="C248" s="18" t="s">
        <v>22</v>
      </c>
      <c r="E248" s="4">
        <v>45658</v>
      </c>
      <c r="F248" s="48">
        <v>3724.67</v>
      </c>
      <c r="G248" t="s">
        <v>12</v>
      </c>
    </row>
    <row r="249" spans="1:7" ht="17.25">
      <c r="A249" s="13" t="s">
        <v>272</v>
      </c>
      <c r="B249" s="6" t="s">
        <v>270</v>
      </c>
      <c r="C249" s="2" t="s">
        <v>38</v>
      </c>
      <c r="E249" s="4">
        <v>45658</v>
      </c>
      <c r="F249" s="58">
        <v>6940.64</v>
      </c>
      <c r="G249" t="s">
        <v>12</v>
      </c>
    </row>
    <row r="250" spans="1:7" ht="17.25">
      <c r="A250" s="13" t="s">
        <v>272</v>
      </c>
      <c r="B250" s="6" t="s">
        <v>270</v>
      </c>
      <c r="C250" s="2" t="s">
        <v>38</v>
      </c>
      <c r="E250" s="4">
        <v>45689</v>
      </c>
      <c r="F250" s="58">
        <v>6947.92</v>
      </c>
      <c r="G250" t="s">
        <v>17</v>
      </c>
    </row>
    <row r="251" spans="1:7">
      <c r="A251" s="13" t="s">
        <v>273</v>
      </c>
      <c r="B251" s="6" t="s">
        <v>270</v>
      </c>
      <c r="C251" s="18" t="s">
        <v>40</v>
      </c>
      <c r="E251" s="4">
        <v>45658</v>
      </c>
      <c r="F251">
        <f>36156/12</f>
        <v>3013</v>
      </c>
      <c r="G251" t="s">
        <v>12</v>
      </c>
    </row>
    <row r="252" spans="1:7" ht="21.75">
      <c r="A252" s="15" t="s">
        <v>274</v>
      </c>
      <c r="B252" s="22" t="s">
        <v>275</v>
      </c>
      <c r="C252" s="19" t="s">
        <v>276</v>
      </c>
      <c r="E252" s="4">
        <v>45658</v>
      </c>
      <c r="F252" s="71">
        <v>108316.88</v>
      </c>
      <c r="G252" t="s">
        <v>12</v>
      </c>
    </row>
    <row r="253" spans="1:7" ht="21.75">
      <c r="A253" s="13" t="s">
        <v>277</v>
      </c>
      <c r="B253" s="14" t="s">
        <v>278</v>
      </c>
      <c r="C253" s="18" t="s">
        <v>22</v>
      </c>
      <c r="E253" s="4">
        <v>45658</v>
      </c>
      <c r="F253" s="69">
        <v>3211.06</v>
      </c>
      <c r="G253" t="s">
        <v>12</v>
      </c>
    </row>
    <row r="254" spans="1:7" ht="15.75">
      <c r="A254" s="13" t="s">
        <v>279</v>
      </c>
      <c r="B254" s="20" t="s">
        <v>278</v>
      </c>
      <c r="C254" s="2" t="s">
        <v>38</v>
      </c>
      <c r="E254" s="4">
        <v>45658</v>
      </c>
      <c r="F254" s="54">
        <v>4931.88</v>
      </c>
      <c r="G254" t="s">
        <v>12</v>
      </c>
    </row>
    <row r="255" spans="1:7" ht="15.75">
      <c r="A255" s="13" t="s">
        <v>279</v>
      </c>
      <c r="B255" s="20" t="s">
        <v>278</v>
      </c>
      <c r="C255" s="2" t="s">
        <v>38</v>
      </c>
      <c r="E255" s="4">
        <v>45689</v>
      </c>
      <c r="F255" s="54">
        <v>4937.1899999999996</v>
      </c>
      <c r="G255" t="s">
        <v>17</v>
      </c>
    </row>
    <row r="256" spans="1:7">
      <c r="A256" s="13" t="s">
        <v>280</v>
      </c>
      <c r="B256" s="20" t="s">
        <v>278</v>
      </c>
      <c r="C256" s="2" t="s">
        <v>40</v>
      </c>
      <c r="E256" s="4">
        <v>45658</v>
      </c>
      <c r="F256" s="52">
        <f>18810/12</f>
        <v>1567.5</v>
      </c>
      <c r="G256" t="s">
        <v>12</v>
      </c>
    </row>
    <row r="257" spans="1:7" ht="21.75">
      <c r="A257" s="13" t="s">
        <v>281</v>
      </c>
      <c r="B257" s="14" t="s">
        <v>282</v>
      </c>
      <c r="C257" s="2" t="s">
        <v>22</v>
      </c>
      <c r="E257" s="4">
        <v>45658</v>
      </c>
      <c r="F257" s="49">
        <v>8784.5300000000007</v>
      </c>
      <c r="G257" t="s">
        <v>12</v>
      </c>
    </row>
    <row r="258" spans="1:7">
      <c r="A258" s="13" t="s">
        <v>283</v>
      </c>
      <c r="B258" s="14" t="s">
        <v>282</v>
      </c>
      <c r="C258" s="2" t="s">
        <v>38</v>
      </c>
      <c r="E258" s="4">
        <v>45658</v>
      </c>
      <c r="F258" s="52">
        <v>4923.5600000000004</v>
      </c>
      <c r="G258" t="s">
        <v>12</v>
      </c>
    </row>
    <row r="259" spans="1:7">
      <c r="A259" s="13" t="s">
        <v>283</v>
      </c>
      <c r="B259" s="14" t="s">
        <v>282</v>
      </c>
      <c r="C259" s="2" t="s">
        <v>38</v>
      </c>
      <c r="E259" s="4">
        <v>45689</v>
      </c>
      <c r="F259" s="52">
        <v>4928.82</v>
      </c>
      <c r="G259" t="s">
        <v>17</v>
      </c>
    </row>
    <row r="260" spans="1:7">
      <c r="A260" s="13" t="s">
        <v>284</v>
      </c>
      <c r="B260" s="14" t="s">
        <v>282</v>
      </c>
      <c r="C260" s="2" t="s">
        <v>40</v>
      </c>
      <c r="E260" s="4">
        <v>45658</v>
      </c>
      <c r="F260">
        <f>29344.58/12</f>
        <v>2445.3816666666667</v>
      </c>
      <c r="G260" t="s">
        <v>12</v>
      </c>
    </row>
    <row r="261" spans="1:7" ht="14.25">
      <c r="A261" s="13" t="s">
        <v>285</v>
      </c>
      <c r="B261" s="14" t="s">
        <v>286</v>
      </c>
      <c r="C261" s="2" t="s">
        <v>32</v>
      </c>
      <c r="E261" s="4">
        <v>45658</v>
      </c>
      <c r="F261" s="49">
        <v>414.64</v>
      </c>
      <c r="G261" t="s">
        <v>12</v>
      </c>
    </row>
    <row r="262" spans="1:7" ht="21.75">
      <c r="A262" s="13" t="s">
        <v>287</v>
      </c>
      <c r="B262" s="14" t="s">
        <v>286</v>
      </c>
      <c r="C262" s="2" t="s">
        <v>22</v>
      </c>
      <c r="E262" s="4">
        <v>45658</v>
      </c>
      <c r="F262" s="49">
        <v>8259.41</v>
      </c>
      <c r="G262" t="s">
        <v>12</v>
      </c>
    </row>
    <row r="263" spans="1:7">
      <c r="A263" s="13" t="s">
        <v>288</v>
      </c>
      <c r="B263" s="6" t="s">
        <v>286</v>
      </c>
      <c r="C263" s="2" t="s">
        <v>38</v>
      </c>
      <c r="E263" s="4">
        <v>45658</v>
      </c>
      <c r="F263">
        <f>4560.58</f>
        <v>4560.58</v>
      </c>
      <c r="G263" t="s">
        <v>12</v>
      </c>
    </row>
    <row r="264" spans="1:7" ht="15.75">
      <c r="A264" s="13" t="s">
        <v>288</v>
      </c>
      <c r="B264" s="6" t="s">
        <v>286</v>
      </c>
      <c r="C264" s="2" t="s">
        <v>38</v>
      </c>
      <c r="E264" s="4">
        <v>45689</v>
      </c>
      <c r="F264" s="57">
        <v>4888.75</v>
      </c>
      <c r="G264" t="s">
        <v>17</v>
      </c>
    </row>
    <row r="265" spans="1:7" ht="14.25">
      <c r="A265" s="13" t="s">
        <v>289</v>
      </c>
      <c r="B265" s="6" t="s">
        <v>290</v>
      </c>
      <c r="C265" s="2" t="s">
        <v>32</v>
      </c>
      <c r="E265" s="4">
        <v>45658</v>
      </c>
      <c r="F265" s="69">
        <v>239.7</v>
      </c>
      <c r="G265" t="s">
        <v>12</v>
      </c>
    </row>
    <row r="266" spans="1:7" ht="21.75">
      <c r="A266" s="13" t="s">
        <v>291</v>
      </c>
      <c r="B266" s="6" t="s">
        <v>290</v>
      </c>
      <c r="C266" s="2" t="s">
        <v>22</v>
      </c>
      <c r="E266" s="4">
        <v>45658</v>
      </c>
      <c r="F266" s="69">
        <v>3504.84</v>
      </c>
      <c r="G266" t="s">
        <v>12</v>
      </c>
    </row>
    <row r="267" spans="1:7" ht="15.75">
      <c r="A267" s="13" t="s">
        <v>292</v>
      </c>
      <c r="B267" s="14" t="s">
        <v>290</v>
      </c>
      <c r="C267" s="2" t="s">
        <v>38</v>
      </c>
      <c r="E267" s="4">
        <v>45658</v>
      </c>
      <c r="F267" s="54">
        <v>5505.76</v>
      </c>
      <c r="G267" t="s">
        <v>17</v>
      </c>
    </row>
    <row r="268" spans="1:7">
      <c r="A268" s="13" t="s">
        <v>293</v>
      </c>
      <c r="B268" s="14" t="s">
        <v>290</v>
      </c>
      <c r="C268" s="2" t="s">
        <v>40</v>
      </c>
      <c r="E268" s="4">
        <v>45658</v>
      </c>
      <c r="F268">
        <f>22732/12</f>
        <v>1894.3333333333333</v>
      </c>
      <c r="G268" t="s">
        <v>12</v>
      </c>
    </row>
    <row r="269" spans="1:7" ht="96">
      <c r="A269" s="14" t="s">
        <v>294</v>
      </c>
      <c r="B269" s="14" t="s">
        <v>295</v>
      </c>
      <c r="C269" s="28" t="s">
        <v>78</v>
      </c>
      <c r="E269" s="4">
        <v>45658</v>
      </c>
      <c r="F269" s="55">
        <v>132692.53</v>
      </c>
      <c r="G269" t="s">
        <v>12</v>
      </c>
    </row>
    <row r="270" spans="1:7" ht="96">
      <c r="A270" s="14" t="s">
        <v>294</v>
      </c>
      <c r="B270" s="14" t="s">
        <v>295</v>
      </c>
      <c r="C270" s="28" t="s">
        <v>78</v>
      </c>
      <c r="E270" s="4">
        <v>45698</v>
      </c>
      <c r="F270" s="55">
        <v>117379.05</v>
      </c>
      <c r="G270" t="s">
        <v>17</v>
      </c>
    </row>
    <row r="271" spans="1:7" ht="21.75">
      <c r="A271" s="14" t="s">
        <v>296</v>
      </c>
      <c r="B271" s="14" t="s">
        <v>297</v>
      </c>
      <c r="C271" s="28" t="s">
        <v>38</v>
      </c>
      <c r="E271" s="4">
        <v>45839</v>
      </c>
      <c r="F271" s="57">
        <v>5196.6499999999996</v>
      </c>
      <c r="G271" t="s">
        <v>12</v>
      </c>
    </row>
    <row r="272" spans="1:7" ht="52.5">
      <c r="A272" s="14" t="s">
        <v>298</v>
      </c>
      <c r="B272" s="14" t="s">
        <v>299</v>
      </c>
      <c r="C272" s="28" t="s">
        <v>78</v>
      </c>
      <c r="E272" s="4">
        <v>45658</v>
      </c>
      <c r="F272" s="58">
        <v>65450.02</v>
      </c>
      <c r="G272" t="s">
        <v>12</v>
      </c>
    </row>
    <row r="273" spans="1:7">
      <c r="A273" s="14" t="s">
        <v>300</v>
      </c>
      <c r="B273" s="14" t="s">
        <v>301</v>
      </c>
      <c r="C273" s="28" t="s">
        <v>16</v>
      </c>
      <c r="E273" s="4">
        <v>45627</v>
      </c>
      <c r="F273">
        <f>10782.23+13157.1/90*3</f>
        <v>11220.8</v>
      </c>
      <c r="G273" t="s">
        <v>302</v>
      </c>
    </row>
    <row r="274" spans="1:7">
      <c r="A274" s="14" t="s">
        <v>300</v>
      </c>
      <c r="B274" s="14" t="s">
        <v>303</v>
      </c>
      <c r="C274" s="28" t="s">
        <v>16</v>
      </c>
      <c r="E274" s="4">
        <v>45627</v>
      </c>
      <c r="F274">
        <f>10399.89+13139.1/90*3</f>
        <v>10837.859999999999</v>
      </c>
      <c r="G274" t="s">
        <v>302</v>
      </c>
    </row>
    <row r="275" spans="1:7">
      <c r="A275" s="14" t="s">
        <v>300</v>
      </c>
      <c r="B275" s="14" t="s">
        <v>304</v>
      </c>
      <c r="C275" s="28" t="s">
        <v>16</v>
      </c>
      <c r="E275" s="4">
        <v>45627</v>
      </c>
      <c r="F275">
        <f>10900.7+13139.1/90*3</f>
        <v>11338.67</v>
      </c>
      <c r="G275" t="s">
        <v>302</v>
      </c>
    </row>
    <row r="276" spans="1:7">
      <c r="A276" s="14" t="s">
        <v>300</v>
      </c>
      <c r="B276" s="14" t="s">
        <v>305</v>
      </c>
      <c r="C276" s="28" t="s">
        <v>16</v>
      </c>
      <c r="E276" s="4">
        <v>45627</v>
      </c>
      <c r="F276">
        <f>11080.38+13157.1/90*3</f>
        <v>11518.949999999999</v>
      </c>
      <c r="G276" t="s">
        <v>302</v>
      </c>
    </row>
    <row r="277" spans="1:7">
      <c r="A277" s="14" t="s">
        <v>300</v>
      </c>
      <c r="B277" s="14" t="s">
        <v>306</v>
      </c>
      <c r="C277" s="28" t="s">
        <v>16</v>
      </c>
      <c r="E277" s="4">
        <v>45627</v>
      </c>
      <c r="F277">
        <f>13809.05+10874.83+6578.55/90*6</f>
        <v>25122.449999999997</v>
      </c>
      <c r="G277" t="s">
        <v>302</v>
      </c>
    </row>
    <row r="278" spans="1:7">
      <c r="A278" s="14" t="s">
        <v>300</v>
      </c>
      <c r="B278" s="14" t="s">
        <v>307</v>
      </c>
      <c r="C278" s="28" t="s">
        <v>16</v>
      </c>
      <c r="E278" s="4">
        <v>45627</v>
      </c>
      <c r="F278">
        <f>11779.51+20198.7/90*3</f>
        <v>12452.8</v>
      </c>
      <c r="G278" t="s">
        <v>302</v>
      </c>
    </row>
    <row r="279" spans="1:7">
      <c r="A279" s="14" t="s">
        <v>308</v>
      </c>
      <c r="B279" s="14" t="s">
        <v>306</v>
      </c>
      <c r="C279" s="29" t="s">
        <v>309</v>
      </c>
      <c r="E279" s="4">
        <v>45658</v>
      </c>
      <c r="F279" s="52">
        <v>40068.629999999997</v>
      </c>
      <c r="G279" t="s">
        <v>12</v>
      </c>
    </row>
    <row r="280" spans="1:7">
      <c r="A280" s="14" t="s">
        <v>308</v>
      </c>
      <c r="B280" s="14" t="s">
        <v>306</v>
      </c>
      <c r="C280" s="18" t="s">
        <v>40</v>
      </c>
      <c r="E280" s="4">
        <v>45658</v>
      </c>
      <c r="F280" s="52">
        <v>7025.07</v>
      </c>
      <c r="G280" t="s">
        <v>12</v>
      </c>
    </row>
    <row r="281" spans="1:7">
      <c r="A281" s="14" t="s">
        <v>308</v>
      </c>
      <c r="B281" s="14" t="s">
        <v>306</v>
      </c>
      <c r="C281" s="29" t="s">
        <v>310</v>
      </c>
      <c r="E281" s="4">
        <v>45658</v>
      </c>
      <c r="F281" s="52">
        <v>653.33000000000004</v>
      </c>
      <c r="G281" t="s">
        <v>12</v>
      </c>
    </row>
    <row r="282" spans="1:7">
      <c r="A282" s="14" t="s">
        <v>308</v>
      </c>
      <c r="B282" s="14" t="s">
        <v>306</v>
      </c>
      <c r="C282" s="29" t="s">
        <v>311</v>
      </c>
      <c r="E282" s="4">
        <v>45658</v>
      </c>
      <c r="F282" s="52">
        <v>597.51</v>
      </c>
      <c r="G282" t="s">
        <v>12</v>
      </c>
    </row>
    <row r="283" spans="1:7">
      <c r="A283" s="14" t="s">
        <v>308</v>
      </c>
      <c r="B283" s="14" t="s">
        <v>306</v>
      </c>
      <c r="C283" s="29" t="s">
        <v>312</v>
      </c>
      <c r="E283" s="4">
        <v>45658</v>
      </c>
      <c r="F283" s="61">
        <v>366.6</v>
      </c>
      <c r="G283" t="s">
        <v>12</v>
      </c>
    </row>
    <row r="284" spans="1:7">
      <c r="A284" s="14" t="s">
        <v>308</v>
      </c>
      <c r="B284" s="14" t="s">
        <v>306</v>
      </c>
      <c r="C284" s="29" t="s">
        <v>313</v>
      </c>
      <c r="E284" s="4">
        <v>45658</v>
      </c>
      <c r="F284" s="52">
        <f>229+229*30%</f>
        <v>297.7</v>
      </c>
      <c r="G284" t="s">
        <v>12</v>
      </c>
    </row>
    <row r="285" spans="1:7">
      <c r="A285" s="14" t="s">
        <v>308</v>
      </c>
      <c r="B285" s="14" t="s">
        <v>306</v>
      </c>
      <c r="C285" s="2" t="s">
        <v>38</v>
      </c>
      <c r="E285" s="4">
        <v>45658</v>
      </c>
      <c r="F285" s="52">
        <v>40544.69</v>
      </c>
      <c r="G285" t="s">
        <v>12</v>
      </c>
    </row>
    <row r="286" spans="1:7">
      <c r="A286" s="14" t="s">
        <v>308</v>
      </c>
      <c r="B286" s="14" t="s">
        <v>306</v>
      </c>
      <c r="C286" s="29" t="s">
        <v>309</v>
      </c>
      <c r="E286" s="4">
        <v>45717</v>
      </c>
      <c r="F286" s="52">
        <v>40068.629999999997</v>
      </c>
      <c r="G286" t="s">
        <v>314</v>
      </c>
    </row>
    <row r="287" spans="1:7">
      <c r="A287" s="14" t="s">
        <v>308</v>
      </c>
      <c r="B287" s="14" t="s">
        <v>306</v>
      </c>
      <c r="C287" s="18" t="s">
        <v>40</v>
      </c>
      <c r="E287" s="4">
        <v>45717</v>
      </c>
      <c r="F287" s="52">
        <v>7025.07</v>
      </c>
      <c r="G287" t="s">
        <v>314</v>
      </c>
    </row>
    <row r="288" spans="1:7">
      <c r="A288" s="14" t="s">
        <v>308</v>
      </c>
      <c r="B288" s="14" t="s">
        <v>306</v>
      </c>
      <c r="C288" s="29" t="s">
        <v>310</v>
      </c>
      <c r="E288" s="4">
        <v>45717</v>
      </c>
      <c r="F288" s="52">
        <v>653.33000000000004</v>
      </c>
      <c r="G288" t="s">
        <v>314</v>
      </c>
    </row>
    <row r="289" spans="1:8">
      <c r="A289" s="14" t="s">
        <v>308</v>
      </c>
      <c r="B289" s="14" t="s">
        <v>306</v>
      </c>
      <c r="C289" s="29" t="s">
        <v>311</v>
      </c>
      <c r="E289" s="4">
        <v>45717</v>
      </c>
      <c r="F289" s="52">
        <v>597.51</v>
      </c>
      <c r="G289" t="s">
        <v>314</v>
      </c>
    </row>
    <row r="290" spans="1:8">
      <c r="A290" s="14" t="s">
        <v>308</v>
      </c>
      <c r="B290" s="14" t="s">
        <v>306</v>
      </c>
      <c r="C290" s="29" t="s">
        <v>312</v>
      </c>
      <c r="E290" s="4">
        <v>45717</v>
      </c>
      <c r="F290" s="61">
        <v>366.6</v>
      </c>
      <c r="G290" t="s">
        <v>314</v>
      </c>
    </row>
    <row r="291" spans="1:8">
      <c r="A291" s="14" t="s">
        <v>308</v>
      </c>
      <c r="B291" s="14" t="s">
        <v>306</v>
      </c>
      <c r="C291" s="29" t="s">
        <v>313</v>
      </c>
      <c r="E291" s="4">
        <v>45717</v>
      </c>
      <c r="F291" s="52">
        <f>229+229*30%</f>
        <v>297.7</v>
      </c>
      <c r="G291" t="s">
        <v>314</v>
      </c>
    </row>
    <row r="292" spans="1:8">
      <c r="A292" s="14" t="s">
        <v>308</v>
      </c>
      <c r="B292" s="14" t="s">
        <v>306</v>
      </c>
      <c r="C292" s="2" t="s">
        <v>38</v>
      </c>
      <c r="E292" s="4">
        <v>45717</v>
      </c>
      <c r="F292" s="52">
        <v>40544.69</v>
      </c>
      <c r="G292" t="s">
        <v>314</v>
      </c>
    </row>
    <row r="293" spans="1:8">
      <c r="A293" s="14" t="s">
        <v>308</v>
      </c>
      <c r="B293" s="14" t="s">
        <v>306</v>
      </c>
      <c r="C293" s="29" t="s">
        <v>309</v>
      </c>
      <c r="E293" s="4">
        <v>45778</v>
      </c>
      <c r="F293" s="52">
        <v>40068.629999999997</v>
      </c>
      <c r="G293" t="s">
        <v>17</v>
      </c>
    </row>
    <row r="294" spans="1:8">
      <c r="A294" s="14" t="s">
        <v>308</v>
      </c>
      <c r="B294" s="14" t="s">
        <v>306</v>
      </c>
      <c r="C294" s="18" t="s">
        <v>40</v>
      </c>
      <c r="E294" s="4">
        <v>45778</v>
      </c>
      <c r="F294" s="52">
        <v>7025.07</v>
      </c>
      <c r="G294" t="s">
        <v>17</v>
      </c>
      <c r="H294">
        <f>F294*12</f>
        <v>84300.84</v>
      </c>
    </row>
    <row r="295" spans="1:8">
      <c r="A295" s="14" t="s">
        <v>308</v>
      </c>
      <c r="B295" s="14" t="s">
        <v>306</v>
      </c>
      <c r="C295" s="29" t="s">
        <v>310</v>
      </c>
      <c r="E295" s="4">
        <v>45778</v>
      </c>
      <c r="F295" s="52">
        <v>653.33000000000004</v>
      </c>
      <c r="G295" t="s">
        <v>17</v>
      </c>
    </row>
    <row r="296" spans="1:8">
      <c r="A296" s="14" t="s">
        <v>308</v>
      </c>
      <c r="B296" s="14" t="s">
        <v>306</v>
      </c>
      <c r="C296" s="29" t="s">
        <v>311</v>
      </c>
      <c r="E296" s="4">
        <v>45778</v>
      </c>
      <c r="F296" s="52">
        <v>597.51</v>
      </c>
      <c r="G296" t="s">
        <v>17</v>
      </c>
    </row>
    <row r="297" spans="1:8">
      <c r="A297" s="14" t="s">
        <v>308</v>
      </c>
      <c r="B297" s="14" t="s">
        <v>306</v>
      </c>
      <c r="C297" s="29" t="s">
        <v>312</v>
      </c>
      <c r="E297" s="4">
        <v>45778</v>
      </c>
      <c r="F297" s="61">
        <v>366.6</v>
      </c>
      <c r="G297" t="s">
        <v>17</v>
      </c>
    </row>
    <row r="298" spans="1:8">
      <c r="A298" s="14" t="s">
        <v>308</v>
      </c>
      <c r="B298" s="14" t="s">
        <v>306</v>
      </c>
      <c r="C298" s="29" t="s">
        <v>313</v>
      </c>
      <c r="E298" s="4">
        <v>45778</v>
      </c>
      <c r="F298" s="52">
        <f>229+229*30%</f>
        <v>297.7</v>
      </c>
      <c r="G298" t="s">
        <v>17</v>
      </c>
      <c r="H298">
        <f>F298*12</f>
        <v>3572.3999999999996</v>
      </c>
    </row>
    <row r="299" spans="1:8">
      <c r="A299" s="14" t="s">
        <v>308</v>
      </c>
      <c r="B299" s="14" t="s">
        <v>306</v>
      </c>
      <c r="C299" s="2" t="s">
        <v>38</v>
      </c>
      <c r="E299" s="4">
        <v>45778</v>
      </c>
      <c r="F299" s="52">
        <v>40544.69</v>
      </c>
      <c r="G299" t="s">
        <v>17</v>
      </c>
      <c r="H299">
        <f>F299*12</f>
        <v>486536.28</v>
      </c>
    </row>
    <row r="300" spans="1:8" ht="14.25">
      <c r="A300" s="13" t="s">
        <v>315</v>
      </c>
      <c r="B300" s="14" t="s">
        <v>301</v>
      </c>
      <c r="C300" s="14" t="s">
        <v>32</v>
      </c>
      <c r="E300" s="4">
        <v>45677</v>
      </c>
      <c r="F300" s="69">
        <v>116.93</v>
      </c>
      <c r="G300" t="s">
        <v>12</v>
      </c>
    </row>
    <row r="301" spans="1:8" ht="21.75">
      <c r="A301" s="13" t="s">
        <v>316</v>
      </c>
      <c r="B301" s="14" t="s">
        <v>301</v>
      </c>
      <c r="C301" s="2" t="s">
        <v>22</v>
      </c>
      <c r="E301" s="4">
        <v>45658</v>
      </c>
      <c r="F301" s="69">
        <v>4315.21</v>
      </c>
      <c r="G301" t="s">
        <v>12</v>
      </c>
    </row>
    <row r="302" spans="1:8" ht="15.75">
      <c r="A302" s="13" t="s">
        <v>317</v>
      </c>
      <c r="B302" s="14" t="s">
        <v>301</v>
      </c>
      <c r="C302" s="2" t="s">
        <v>38</v>
      </c>
      <c r="E302" s="4">
        <v>45658</v>
      </c>
      <c r="F302" s="57">
        <v>6204.01</v>
      </c>
      <c r="G302" t="s">
        <v>12</v>
      </c>
    </row>
    <row r="303" spans="1:8" ht="15.75">
      <c r="A303" s="13" t="s">
        <v>317</v>
      </c>
      <c r="B303" s="14" t="s">
        <v>301</v>
      </c>
      <c r="C303" s="2" t="s">
        <v>38</v>
      </c>
      <c r="E303" s="4">
        <v>45875</v>
      </c>
      <c r="F303" s="57">
        <v>6204.01</v>
      </c>
      <c r="G303" t="s">
        <v>318</v>
      </c>
    </row>
    <row r="304" spans="1:8" ht="21.75">
      <c r="A304" s="13" t="s">
        <v>319</v>
      </c>
      <c r="B304" s="30" t="s">
        <v>320</v>
      </c>
      <c r="C304" s="30" t="s">
        <v>78</v>
      </c>
      <c r="E304" s="4">
        <v>45689</v>
      </c>
      <c r="F304" s="57">
        <v>19666.669999999998</v>
      </c>
      <c r="G304" t="s">
        <v>12</v>
      </c>
    </row>
    <row r="305" spans="1:7" ht="21.75">
      <c r="A305" s="13" t="s">
        <v>319</v>
      </c>
      <c r="B305" s="30" t="s">
        <v>320</v>
      </c>
      <c r="C305" s="30" t="s">
        <v>78</v>
      </c>
      <c r="D305" s="4">
        <v>45728</v>
      </c>
      <c r="E305" s="4"/>
      <c r="F305" s="57"/>
      <c r="G305" t="s">
        <v>321</v>
      </c>
    </row>
    <row r="306" spans="1:7" ht="15.75">
      <c r="A306" s="5" t="s">
        <v>322</v>
      </c>
      <c r="B306" s="14" t="s">
        <v>303</v>
      </c>
      <c r="C306" s="25" t="s">
        <v>38</v>
      </c>
      <c r="E306" s="4">
        <v>44965</v>
      </c>
      <c r="F306" s="53">
        <v>22224.74</v>
      </c>
      <c r="G306" t="s">
        <v>323</v>
      </c>
    </row>
    <row r="307" spans="1:7" ht="15.75">
      <c r="A307" s="5" t="s">
        <v>322</v>
      </c>
      <c r="B307" s="14" t="s">
        <v>303</v>
      </c>
      <c r="C307" s="25" t="s">
        <v>38</v>
      </c>
      <c r="E307" s="4">
        <v>45936</v>
      </c>
      <c r="F307" s="53">
        <v>22224.74</v>
      </c>
      <c r="G307" t="s">
        <v>318</v>
      </c>
    </row>
    <row r="308" spans="1:7" ht="15.75">
      <c r="A308" s="21" t="s">
        <v>324</v>
      </c>
      <c r="B308" s="30" t="s">
        <v>303</v>
      </c>
      <c r="C308" s="2" t="s">
        <v>132</v>
      </c>
      <c r="E308" s="4">
        <v>45349</v>
      </c>
      <c r="F308" s="57">
        <v>1241.54</v>
      </c>
      <c r="G308" t="s">
        <v>325</v>
      </c>
    </row>
    <row r="309" spans="1:7">
      <c r="A309" s="13" t="s">
        <v>326</v>
      </c>
      <c r="B309" s="30" t="s">
        <v>303</v>
      </c>
      <c r="C309" s="2" t="s">
        <v>40</v>
      </c>
      <c r="E309" s="4">
        <v>45658</v>
      </c>
      <c r="F309">
        <f>55280/12</f>
        <v>4606.666666666667</v>
      </c>
      <c r="G309" t="s">
        <v>12</v>
      </c>
    </row>
    <row r="310" spans="1:7" ht="14.25">
      <c r="A310" s="13" t="s">
        <v>327</v>
      </c>
      <c r="B310" s="6" t="s">
        <v>303</v>
      </c>
      <c r="C310" s="18" t="s">
        <v>32</v>
      </c>
      <c r="E310" s="4">
        <v>45658</v>
      </c>
      <c r="F310" s="49">
        <v>4602.7299999999996</v>
      </c>
      <c r="G310" t="s">
        <v>12</v>
      </c>
    </row>
    <row r="311" spans="1:7" ht="21.75">
      <c r="A311" s="13" t="s">
        <v>328</v>
      </c>
      <c r="B311" s="6" t="s">
        <v>303</v>
      </c>
      <c r="C311" s="18" t="s">
        <v>22</v>
      </c>
      <c r="E311" s="4">
        <v>45658</v>
      </c>
      <c r="F311" s="49">
        <v>14410.42</v>
      </c>
      <c r="G311" t="s">
        <v>12</v>
      </c>
    </row>
    <row r="312" spans="1:7" ht="42.75">
      <c r="A312" s="13" t="s">
        <v>329</v>
      </c>
      <c r="B312" s="14" t="s">
        <v>303</v>
      </c>
      <c r="C312" s="2" t="s">
        <v>129</v>
      </c>
      <c r="E312" s="4">
        <v>45931</v>
      </c>
      <c r="F312" s="61">
        <v>280</v>
      </c>
      <c r="G312" t="s">
        <v>12</v>
      </c>
    </row>
    <row r="313" spans="1:7" ht="42.75">
      <c r="A313" s="13" t="s">
        <v>329</v>
      </c>
      <c r="B313" s="14" t="s">
        <v>303</v>
      </c>
      <c r="C313" s="2" t="s">
        <v>129</v>
      </c>
      <c r="D313" s="4">
        <v>45663</v>
      </c>
      <c r="E313" s="4"/>
      <c r="F313" s="61"/>
      <c r="G313" t="s">
        <v>330</v>
      </c>
    </row>
    <row r="314" spans="1:7" ht="14.25">
      <c r="A314" s="13" t="s">
        <v>331</v>
      </c>
      <c r="B314" s="31" t="s">
        <v>332</v>
      </c>
      <c r="C314" s="18" t="s">
        <v>32</v>
      </c>
      <c r="E314" s="4">
        <v>45658</v>
      </c>
      <c r="F314" s="49">
        <v>307.35000000000002</v>
      </c>
      <c r="G314" t="s">
        <v>12</v>
      </c>
    </row>
    <row r="315" spans="1:7" ht="21.75">
      <c r="A315" s="13" t="s">
        <v>333</v>
      </c>
      <c r="B315" s="31" t="s">
        <v>332</v>
      </c>
      <c r="C315" s="18" t="s">
        <v>22</v>
      </c>
      <c r="E315" s="4">
        <v>45658</v>
      </c>
      <c r="F315" s="49">
        <v>426.4</v>
      </c>
      <c r="G315" t="s">
        <v>12</v>
      </c>
    </row>
    <row r="316" spans="1:7">
      <c r="A316" s="13" t="s">
        <v>334</v>
      </c>
      <c r="B316" s="14" t="s">
        <v>332</v>
      </c>
      <c r="C316" s="2" t="s">
        <v>38</v>
      </c>
      <c r="E316" s="4">
        <v>45658</v>
      </c>
      <c r="F316" s="52">
        <v>5374.23</v>
      </c>
      <c r="G316" t="s">
        <v>17</v>
      </c>
    </row>
    <row r="317" spans="1:7">
      <c r="A317" s="15" t="s">
        <v>335</v>
      </c>
      <c r="B317" s="16" t="s">
        <v>332</v>
      </c>
      <c r="C317" s="17" t="s">
        <v>40</v>
      </c>
      <c r="E317" s="4">
        <v>45658</v>
      </c>
      <c r="F317">
        <f>33250/12</f>
        <v>2770.8333333333335</v>
      </c>
      <c r="G317" t="s">
        <v>12</v>
      </c>
    </row>
    <row r="318" spans="1:7">
      <c r="A318" s="13" t="s">
        <v>336</v>
      </c>
      <c r="B318" s="6" t="s">
        <v>332</v>
      </c>
      <c r="C318" s="2" t="s">
        <v>132</v>
      </c>
      <c r="E318" s="4">
        <v>45658</v>
      </c>
      <c r="F318">
        <f>13999.8/12</f>
        <v>1166.6499999999999</v>
      </c>
      <c r="G318" t="s">
        <v>12</v>
      </c>
    </row>
    <row r="319" spans="1:7" ht="21.75">
      <c r="A319" s="13" t="s">
        <v>337</v>
      </c>
      <c r="B319" s="6" t="s">
        <v>338</v>
      </c>
      <c r="C319" s="18" t="s">
        <v>22</v>
      </c>
      <c r="E319" s="4">
        <v>45658</v>
      </c>
      <c r="F319" s="69">
        <v>1397.04</v>
      </c>
      <c r="G319" t="s">
        <v>12</v>
      </c>
    </row>
    <row r="320" spans="1:7" ht="14.25">
      <c r="A320" s="13" t="s">
        <v>339</v>
      </c>
      <c r="B320" s="6" t="s">
        <v>338</v>
      </c>
      <c r="C320" s="18" t="s">
        <v>32</v>
      </c>
      <c r="E320" s="4">
        <v>45658</v>
      </c>
      <c r="F320" s="69">
        <v>78.7</v>
      </c>
      <c r="G320" t="s">
        <v>12</v>
      </c>
    </row>
    <row r="321" spans="1:7">
      <c r="A321" s="13" t="s">
        <v>340</v>
      </c>
      <c r="B321" s="6" t="s">
        <v>338</v>
      </c>
      <c r="C321" s="2" t="s">
        <v>38</v>
      </c>
      <c r="E321" s="4">
        <v>45658</v>
      </c>
      <c r="F321" s="55">
        <v>5139.54</v>
      </c>
      <c r="G321" t="s">
        <v>17</v>
      </c>
    </row>
    <row r="322" spans="1:7">
      <c r="A322" s="13" t="s">
        <v>341</v>
      </c>
      <c r="B322" s="6" t="s">
        <v>338</v>
      </c>
      <c r="C322" s="18" t="s">
        <v>40</v>
      </c>
      <c r="E322" s="4">
        <v>45658</v>
      </c>
      <c r="F322">
        <f>25002/12</f>
        <v>2083.5</v>
      </c>
      <c r="G322" t="s">
        <v>12</v>
      </c>
    </row>
    <row r="323" spans="1:7" ht="14.25">
      <c r="A323" s="13" t="s">
        <v>342</v>
      </c>
      <c r="B323" s="14" t="s">
        <v>343</v>
      </c>
      <c r="C323" s="2" t="s">
        <v>32</v>
      </c>
      <c r="E323" s="4">
        <v>45658</v>
      </c>
      <c r="F323" s="49">
        <v>2508.9899999999998</v>
      </c>
      <c r="G323" t="s">
        <v>12</v>
      </c>
    </row>
    <row r="324" spans="1:7" ht="21.75">
      <c r="A324" s="13" t="s">
        <v>344</v>
      </c>
      <c r="B324" s="14" t="s">
        <v>343</v>
      </c>
      <c r="C324" s="2" t="s">
        <v>22</v>
      </c>
      <c r="E324" s="4">
        <v>45658</v>
      </c>
      <c r="F324" s="49">
        <v>750.5</v>
      </c>
      <c r="G324" t="s">
        <v>12</v>
      </c>
    </row>
    <row r="325" spans="1:7" ht="15.75">
      <c r="A325" s="13" t="s">
        <v>345</v>
      </c>
      <c r="B325" s="6" t="s">
        <v>343</v>
      </c>
      <c r="C325" s="2" t="s">
        <v>38</v>
      </c>
      <c r="E325" s="4">
        <v>45658</v>
      </c>
      <c r="F325" s="57">
        <v>6490.75</v>
      </c>
      <c r="G325" t="s">
        <v>12</v>
      </c>
    </row>
    <row r="326" spans="1:7">
      <c r="A326" s="13" t="s">
        <v>345</v>
      </c>
      <c r="B326" s="6" t="s">
        <v>343</v>
      </c>
      <c r="C326" s="2" t="s">
        <v>38</v>
      </c>
      <c r="E326" s="4">
        <v>45668</v>
      </c>
      <c r="F326" s="55">
        <v>6553.17</v>
      </c>
      <c r="G326" t="s">
        <v>17</v>
      </c>
    </row>
    <row r="327" spans="1:7">
      <c r="A327" s="13" t="s">
        <v>346</v>
      </c>
      <c r="B327" s="6" t="s">
        <v>343</v>
      </c>
      <c r="C327" s="18" t="s">
        <v>40</v>
      </c>
      <c r="E327" s="4">
        <v>45658</v>
      </c>
      <c r="F327" s="55">
        <f>27535/12</f>
        <v>2294.5833333333335</v>
      </c>
      <c r="G327" t="s">
        <v>12</v>
      </c>
    </row>
    <row r="328" spans="1:7" ht="21.75">
      <c r="A328" s="13" t="s">
        <v>347</v>
      </c>
      <c r="B328" s="6" t="s">
        <v>304</v>
      </c>
      <c r="C328" s="18" t="s">
        <v>22</v>
      </c>
      <c r="E328" s="4">
        <v>45658</v>
      </c>
      <c r="F328" s="69">
        <v>12597.02</v>
      </c>
      <c r="G328" t="s">
        <v>12</v>
      </c>
    </row>
    <row r="329" spans="1:7" ht="15.75">
      <c r="A329" s="13" t="s">
        <v>348</v>
      </c>
      <c r="B329" s="6" t="s">
        <v>304</v>
      </c>
      <c r="C329" s="2" t="s">
        <v>38</v>
      </c>
      <c r="E329" s="4">
        <v>45658</v>
      </c>
      <c r="F329" s="57">
        <v>4374.47</v>
      </c>
      <c r="G329" t="s">
        <v>12</v>
      </c>
    </row>
    <row r="330" spans="1:7">
      <c r="A330" s="13" t="s">
        <v>349</v>
      </c>
      <c r="B330" s="6" t="s">
        <v>304</v>
      </c>
      <c r="C330" s="2" t="s">
        <v>40</v>
      </c>
      <c r="E330" s="4">
        <v>45658</v>
      </c>
      <c r="F330" s="55">
        <f>22615/12</f>
        <v>1884.5833333333333</v>
      </c>
      <c r="G330" t="s">
        <v>12</v>
      </c>
    </row>
    <row r="331" spans="1:7" ht="14.25">
      <c r="A331" s="13" t="s">
        <v>350</v>
      </c>
      <c r="B331" s="14" t="s">
        <v>351</v>
      </c>
      <c r="C331" s="2" t="s">
        <v>32</v>
      </c>
      <c r="E331" s="4">
        <v>45658</v>
      </c>
      <c r="F331" s="49">
        <v>3374.56</v>
      </c>
      <c r="G331" t="s">
        <v>12</v>
      </c>
    </row>
    <row r="332" spans="1:7" ht="21.75">
      <c r="A332" s="13" t="s">
        <v>352</v>
      </c>
      <c r="B332" s="14" t="s">
        <v>351</v>
      </c>
      <c r="C332" s="18" t="s">
        <v>22</v>
      </c>
      <c r="E332" s="4">
        <v>45658</v>
      </c>
      <c r="F332" s="49">
        <v>3928.84</v>
      </c>
      <c r="G332" t="s">
        <v>12</v>
      </c>
    </row>
    <row r="333" spans="1:7" ht="15.75">
      <c r="A333" s="13" t="s">
        <v>353</v>
      </c>
      <c r="B333" s="14" t="s">
        <v>351</v>
      </c>
      <c r="C333" s="2" t="s">
        <v>38</v>
      </c>
      <c r="E333" s="4">
        <v>45658</v>
      </c>
      <c r="F333" s="54">
        <v>4889.9799999999996</v>
      </c>
      <c r="G333" t="s">
        <v>17</v>
      </c>
    </row>
    <row r="334" spans="1:7">
      <c r="A334" s="13" t="s">
        <v>354</v>
      </c>
      <c r="B334" s="14" t="s">
        <v>351</v>
      </c>
      <c r="C334" s="2" t="s">
        <v>44</v>
      </c>
      <c r="E334" s="4">
        <v>45658</v>
      </c>
      <c r="F334" s="55">
        <v>14819.78</v>
      </c>
      <c r="G334" t="s">
        <v>17</v>
      </c>
    </row>
    <row r="335" spans="1:7" ht="14.25">
      <c r="A335" s="13" t="s">
        <v>355</v>
      </c>
      <c r="B335" s="14" t="s">
        <v>356</v>
      </c>
      <c r="C335" s="24" t="s">
        <v>32</v>
      </c>
      <c r="E335" s="4">
        <v>45658</v>
      </c>
      <c r="F335" s="49">
        <v>520.84</v>
      </c>
      <c r="G335" t="s">
        <v>12</v>
      </c>
    </row>
    <row r="336" spans="1:7" ht="21.75">
      <c r="A336" s="13" t="s">
        <v>357</v>
      </c>
      <c r="B336" s="14" t="s">
        <v>356</v>
      </c>
      <c r="C336" s="2" t="s">
        <v>22</v>
      </c>
      <c r="E336" s="4">
        <v>45658</v>
      </c>
      <c r="F336" s="49">
        <v>3158.51</v>
      </c>
      <c r="G336" t="s">
        <v>12</v>
      </c>
    </row>
    <row r="337" spans="1:7" ht="15.75">
      <c r="A337" s="13" t="s">
        <v>358</v>
      </c>
      <c r="B337" s="14" t="s">
        <v>356</v>
      </c>
      <c r="C337" s="2" t="s">
        <v>38</v>
      </c>
      <c r="E337" s="4">
        <v>45387</v>
      </c>
      <c r="F337" s="57">
        <v>4907.9799999999996</v>
      </c>
      <c r="G337" t="s">
        <v>118</v>
      </c>
    </row>
    <row r="338" spans="1:7">
      <c r="A338" s="13" t="s">
        <v>359</v>
      </c>
      <c r="B338" s="14" t="s">
        <v>356</v>
      </c>
      <c r="C338" s="18" t="s">
        <v>40</v>
      </c>
      <c r="E338" s="4">
        <v>45790</v>
      </c>
      <c r="F338">
        <f>21456/12</f>
        <v>1788</v>
      </c>
      <c r="G338" t="s">
        <v>12</v>
      </c>
    </row>
    <row r="339" spans="1:7" ht="21.75">
      <c r="A339" s="13" t="s">
        <v>360</v>
      </c>
      <c r="B339" s="14" t="s">
        <v>361</v>
      </c>
      <c r="C339" s="18" t="s">
        <v>22</v>
      </c>
      <c r="E339" s="4">
        <v>45805</v>
      </c>
      <c r="F339" s="69">
        <v>2227.75</v>
      </c>
      <c r="G339" t="s">
        <v>12</v>
      </c>
    </row>
    <row r="340" spans="1:7" ht="15.75">
      <c r="A340" s="13" t="s">
        <v>362</v>
      </c>
      <c r="B340" s="14" t="s">
        <v>361</v>
      </c>
      <c r="C340" s="2" t="s">
        <v>38</v>
      </c>
      <c r="E340" s="4">
        <v>45385</v>
      </c>
      <c r="F340" s="57">
        <v>5463.01</v>
      </c>
      <c r="G340" t="s">
        <v>118</v>
      </c>
    </row>
    <row r="341" spans="1:7" ht="14.25">
      <c r="A341" s="13" t="s">
        <v>363</v>
      </c>
      <c r="B341" s="14" t="s">
        <v>305</v>
      </c>
      <c r="C341" s="2" t="s">
        <v>32</v>
      </c>
      <c r="E341" s="4">
        <v>45658</v>
      </c>
      <c r="F341" s="49">
        <v>4345</v>
      </c>
      <c r="G341" t="s">
        <v>12</v>
      </c>
    </row>
    <row r="342" spans="1:7" ht="21.75">
      <c r="A342" s="13" t="s">
        <v>364</v>
      </c>
      <c r="B342" s="14" t="s">
        <v>305</v>
      </c>
      <c r="C342" s="2" t="s">
        <v>22</v>
      </c>
      <c r="E342" s="4">
        <v>45658</v>
      </c>
      <c r="F342" s="49">
        <v>13023.56</v>
      </c>
      <c r="G342" t="s">
        <v>12</v>
      </c>
    </row>
    <row r="343" spans="1:7">
      <c r="A343" s="13" t="s">
        <v>365</v>
      </c>
      <c r="B343" s="6" t="s">
        <v>305</v>
      </c>
      <c r="C343" s="2" t="s">
        <v>38</v>
      </c>
      <c r="E343" s="4">
        <v>45658</v>
      </c>
      <c r="F343" s="52">
        <v>4583.32</v>
      </c>
      <c r="G343" t="s">
        <v>12</v>
      </c>
    </row>
    <row r="344" spans="1:7">
      <c r="A344" s="13" t="s">
        <v>365</v>
      </c>
      <c r="B344" s="6" t="s">
        <v>305</v>
      </c>
      <c r="C344" s="2" t="s">
        <v>38</v>
      </c>
      <c r="E344" s="4">
        <v>45717</v>
      </c>
      <c r="F344" s="52">
        <v>4815.1099999999997</v>
      </c>
      <c r="G344" t="s">
        <v>314</v>
      </c>
    </row>
    <row r="345" spans="1:7">
      <c r="A345" s="13" t="s">
        <v>365</v>
      </c>
      <c r="B345" s="6" t="s">
        <v>305</v>
      </c>
      <c r="C345" s="2" t="s">
        <v>38</v>
      </c>
      <c r="E345" s="4">
        <v>45778</v>
      </c>
      <c r="F345" s="52">
        <v>4817.09</v>
      </c>
      <c r="G345" t="s">
        <v>314</v>
      </c>
    </row>
    <row r="346" spans="1:7">
      <c r="A346" s="13" t="s">
        <v>365</v>
      </c>
      <c r="B346" s="6" t="s">
        <v>305</v>
      </c>
      <c r="C346" s="2" t="s">
        <v>38</v>
      </c>
      <c r="E346" s="4">
        <v>45787</v>
      </c>
      <c r="F346" s="52">
        <v>4841.7</v>
      </c>
      <c r="G346" t="s">
        <v>17</v>
      </c>
    </row>
    <row r="347" spans="1:7" ht="15.75">
      <c r="A347" s="13" t="s">
        <v>366</v>
      </c>
      <c r="B347" s="14" t="s">
        <v>305</v>
      </c>
      <c r="C347" s="18" t="s">
        <v>40</v>
      </c>
      <c r="E347" s="4">
        <v>45790</v>
      </c>
      <c r="F347" s="57">
        <f>52338.36/12</f>
        <v>4361.53</v>
      </c>
      <c r="G347" t="s">
        <v>12</v>
      </c>
    </row>
    <row r="348" spans="1:7" ht="14.25">
      <c r="A348" s="13" t="s">
        <v>367</v>
      </c>
      <c r="B348" s="14" t="s">
        <v>368</v>
      </c>
      <c r="C348" s="18" t="s">
        <v>32</v>
      </c>
      <c r="E348" s="4">
        <v>45658</v>
      </c>
      <c r="F348" s="49">
        <v>335.68</v>
      </c>
      <c r="G348" t="s">
        <v>12</v>
      </c>
    </row>
    <row r="349" spans="1:7" ht="14.25">
      <c r="A349" s="13" t="s">
        <v>367</v>
      </c>
      <c r="B349" s="14" t="s">
        <v>368</v>
      </c>
      <c r="C349" s="18" t="s">
        <v>32</v>
      </c>
      <c r="E349" s="4">
        <v>45673</v>
      </c>
      <c r="F349" s="49">
        <v>335.68</v>
      </c>
      <c r="G349" t="s">
        <v>82</v>
      </c>
    </row>
    <row r="350" spans="1:7" ht="21.75">
      <c r="A350" s="13" t="s">
        <v>369</v>
      </c>
      <c r="B350" s="14" t="s">
        <v>368</v>
      </c>
      <c r="C350" s="18" t="s">
        <v>22</v>
      </c>
      <c r="E350" s="4">
        <v>45658</v>
      </c>
      <c r="F350" s="49">
        <v>4583.93</v>
      </c>
      <c r="G350" t="s">
        <v>12</v>
      </c>
    </row>
    <row r="351" spans="1:7" ht="17.25">
      <c r="A351" s="13" t="s">
        <v>370</v>
      </c>
      <c r="B351" s="14" t="s">
        <v>368</v>
      </c>
      <c r="C351" s="2" t="s">
        <v>38</v>
      </c>
      <c r="E351" s="4">
        <v>45658</v>
      </c>
      <c r="F351" s="58">
        <v>4500</v>
      </c>
      <c r="G351" t="s">
        <v>12</v>
      </c>
    </row>
    <row r="352" spans="1:7" ht="17.25">
      <c r="A352" s="13" t="s">
        <v>370</v>
      </c>
      <c r="B352" s="14" t="s">
        <v>368</v>
      </c>
      <c r="C352" s="2" t="s">
        <v>38</v>
      </c>
      <c r="E352" s="4">
        <v>45748</v>
      </c>
      <c r="F352" s="58">
        <v>5096.84</v>
      </c>
      <c r="G352" t="s">
        <v>17</v>
      </c>
    </row>
    <row r="353" spans="1:8">
      <c r="A353" s="13" t="s">
        <v>371</v>
      </c>
      <c r="B353" s="14" t="s">
        <v>368</v>
      </c>
      <c r="C353" s="18" t="s">
        <v>40</v>
      </c>
      <c r="E353" s="4">
        <v>45658</v>
      </c>
      <c r="F353">
        <f>28153/12</f>
        <v>2346.0833333333335</v>
      </c>
      <c r="G353" t="s">
        <v>12</v>
      </c>
    </row>
    <row r="354" spans="1:8" ht="21.75">
      <c r="A354" s="13" t="s">
        <v>372</v>
      </c>
      <c r="B354" s="6" t="s">
        <v>306</v>
      </c>
      <c r="C354" s="2" t="s">
        <v>22</v>
      </c>
      <c r="E354" s="4">
        <v>45658</v>
      </c>
      <c r="F354" s="49">
        <v>36353.760000000002</v>
      </c>
      <c r="G354" t="s">
        <v>12</v>
      </c>
    </row>
    <row r="355" spans="1:8" ht="14.25">
      <c r="A355" s="13" t="s">
        <v>373</v>
      </c>
      <c r="B355" s="14" t="s">
        <v>374</v>
      </c>
      <c r="C355" s="18" t="s">
        <v>32</v>
      </c>
      <c r="E355" s="4">
        <v>45658</v>
      </c>
      <c r="F355" s="49">
        <v>354.6</v>
      </c>
      <c r="G355" t="s">
        <v>12</v>
      </c>
    </row>
    <row r="356" spans="1:8" ht="21.75">
      <c r="A356" s="13" t="s">
        <v>375</v>
      </c>
      <c r="B356" s="14" t="s">
        <v>374</v>
      </c>
      <c r="C356" s="18" t="s">
        <v>22</v>
      </c>
      <c r="E356" s="4">
        <v>45658</v>
      </c>
      <c r="F356" s="49">
        <v>52933.15</v>
      </c>
      <c r="G356" t="s">
        <v>12</v>
      </c>
    </row>
    <row r="357" spans="1:8" ht="15.75">
      <c r="A357" s="13" t="s">
        <v>376</v>
      </c>
      <c r="B357" s="14" t="s">
        <v>374</v>
      </c>
      <c r="C357" s="24" t="s">
        <v>38</v>
      </c>
      <c r="E357" s="4">
        <v>45658</v>
      </c>
      <c r="F357" s="57">
        <v>4759.9799999999996</v>
      </c>
      <c r="G357" t="s">
        <v>17</v>
      </c>
    </row>
    <row r="358" spans="1:8">
      <c r="A358" s="15" t="s">
        <v>377</v>
      </c>
      <c r="B358" s="22" t="s">
        <v>374</v>
      </c>
      <c r="C358" s="17" t="s">
        <v>40</v>
      </c>
      <c r="E358" s="4">
        <v>45658</v>
      </c>
      <c r="F358">
        <f>36450/12</f>
        <v>3037.5</v>
      </c>
      <c r="G358" t="s">
        <v>12</v>
      </c>
    </row>
    <row r="359" spans="1:8" ht="24">
      <c r="A359" s="13" t="s">
        <v>378</v>
      </c>
      <c r="B359" s="14" t="s">
        <v>379</v>
      </c>
      <c r="C359" s="2" t="s">
        <v>40</v>
      </c>
      <c r="E359" s="4">
        <v>45658</v>
      </c>
      <c r="F359">
        <f>25880/12</f>
        <v>2156.6666666666665</v>
      </c>
      <c r="G359" t="s">
        <v>12</v>
      </c>
    </row>
    <row r="360" spans="1:8" ht="21.75">
      <c r="A360" s="13" t="s">
        <v>380</v>
      </c>
      <c r="B360" s="14" t="s">
        <v>379</v>
      </c>
      <c r="C360" s="2" t="s">
        <v>22</v>
      </c>
      <c r="E360" s="4">
        <v>45658</v>
      </c>
      <c r="F360" s="49">
        <v>886.36</v>
      </c>
      <c r="G360" t="s">
        <v>12</v>
      </c>
    </row>
    <row r="361" spans="1:8" ht="14.25">
      <c r="A361" s="13" t="s">
        <v>381</v>
      </c>
      <c r="B361" s="14" t="s">
        <v>382</v>
      </c>
      <c r="C361" s="2" t="s">
        <v>32</v>
      </c>
      <c r="E361" s="4">
        <v>45658</v>
      </c>
      <c r="F361" s="49">
        <v>336.41</v>
      </c>
      <c r="G361" t="s">
        <v>12</v>
      </c>
    </row>
    <row r="362" spans="1:8" ht="21.75">
      <c r="A362" s="13" t="s">
        <v>383</v>
      </c>
      <c r="B362" s="14" t="s">
        <v>382</v>
      </c>
      <c r="C362" s="2" t="s">
        <v>22</v>
      </c>
      <c r="E362" s="4">
        <v>45658</v>
      </c>
      <c r="F362" s="49">
        <v>4428.99</v>
      </c>
      <c r="G362" t="s">
        <v>12</v>
      </c>
    </row>
    <row r="363" spans="1:8" ht="17.25">
      <c r="A363" s="13" t="s">
        <v>384</v>
      </c>
      <c r="B363" s="6" t="s">
        <v>382</v>
      </c>
      <c r="C363" s="2" t="s">
        <v>38</v>
      </c>
      <c r="E363" s="4">
        <v>45658</v>
      </c>
      <c r="F363" s="58">
        <v>6865.24</v>
      </c>
      <c r="G363" t="s">
        <v>17</v>
      </c>
    </row>
    <row r="364" spans="1:8" ht="15.75">
      <c r="A364" s="13" t="s">
        <v>385</v>
      </c>
      <c r="B364" s="6" t="s">
        <v>382</v>
      </c>
      <c r="C364" s="18" t="s">
        <v>40</v>
      </c>
      <c r="E364" s="4">
        <v>45790</v>
      </c>
      <c r="F364" s="57">
        <f>22710/12</f>
        <v>1892.5</v>
      </c>
      <c r="G364" t="s">
        <v>12</v>
      </c>
    </row>
    <row r="365" spans="1:8" ht="15.75">
      <c r="A365" s="13" t="s">
        <v>386</v>
      </c>
      <c r="B365" s="14" t="s">
        <v>387</v>
      </c>
      <c r="C365" s="2" t="s">
        <v>38</v>
      </c>
      <c r="E365" s="4">
        <v>45292</v>
      </c>
      <c r="F365" s="53">
        <v>31696.38</v>
      </c>
      <c r="G365" t="s">
        <v>118</v>
      </c>
    </row>
    <row r="366" spans="1:8" ht="15.75">
      <c r="A366" s="13" t="s">
        <v>386</v>
      </c>
      <c r="B366" s="14" t="s">
        <v>387</v>
      </c>
      <c r="C366" s="2" t="s">
        <v>38</v>
      </c>
      <c r="D366" s="4">
        <v>45952</v>
      </c>
      <c r="E366" s="4"/>
      <c r="F366" s="53"/>
      <c r="G366" t="s">
        <v>388</v>
      </c>
    </row>
    <row r="367" spans="1:8" ht="14.25">
      <c r="A367" s="13" t="s">
        <v>389</v>
      </c>
      <c r="B367" s="14" t="s">
        <v>387</v>
      </c>
      <c r="C367" s="2" t="s">
        <v>390</v>
      </c>
      <c r="E367" s="4">
        <v>45926</v>
      </c>
      <c r="F367" s="49">
        <v>324204.25</v>
      </c>
      <c r="G367" t="s">
        <v>12</v>
      </c>
      <c r="H367" s="73"/>
    </row>
    <row r="368" spans="1:8" ht="14.25">
      <c r="A368" s="13" t="s">
        <v>391</v>
      </c>
      <c r="B368" s="14" t="s">
        <v>392</v>
      </c>
      <c r="C368" s="18" t="s">
        <v>32</v>
      </c>
      <c r="E368" s="4">
        <v>45658</v>
      </c>
      <c r="F368" s="49">
        <v>139.01</v>
      </c>
      <c r="G368" t="s">
        <v>12</v>
      </c>
    </row>
    <row r="369" spans="1:7" ht="21.75">
      <c r="A369" s="13" t="s">
        <v>393</v>
      </c>
      <c r="B369" s="14" t="s">
        <v>392</v>
      </c>
      <c r="C369" s="18" t="s">
        <v>22</v>
      </c>
      <c r="E369" s="4">
        <v>45658</v>
      </c>
      <c r="F369" s="49">
        <v>36184.68</v>
      </c>
      <c r="G369" t="s">
        <v>12</v>
      </c>
    </row>
    <row r="370" spans="1:7">
      <c r="A370" s="32" t="s">
        <v>394</v>
      </c>
      <c r="B370" s="33" t="s">
        <v>392</v>
      </c>
      <c r="C370" s="19" t="s">
        <v>38</v>
      </c>
      <c r="E370" s="4">
        <v>45658</v>
      </c>
      <c r="F370" s="55">
        <v>5042.24</v>
      </c>
      <c r="G370" t="s">
        <v>17</v>
      </c>
    </row>
    <row r="371" spans="1:7">
      <c r="A371" s="13" t="s">
        <v>395</v>
      </c>
      <c r="B371" s="6" t="s">
        <v>392</v>
      </c>
      <c r="C371" s="18" t="s">
        <v>40</v>
      </c>
      <c r="E371" s="4">
        <v>45790</v>
      </c>
      <c r="F371">
        <f>23236/12</f>
        <v>1936.3333333333333</v>
      </c>
      <c r="G371" t="s">
        <v>12</v>
      </c>
    </row>
    <row r="372" spans="1:7" ht="14.25">
      <c r="A372" s="13" t="s">
        <v>396</v>
      </c>
      <c r="B372" s="14" t="s">
        <v>397</v>
      </c>
      <c r="C372" s="2" t="s">
        <v>32</v>
      </c>
      <c r="E372" s="4">
        <v>45658</v>
      </c>
      <c r="F372" s="49">
        <v>244.09</v>
      </c>
      <c r="G372" t="s">
        <v>12</v>
      </c>
    </row>
    <row r="373" spans="1:7" ht="21.75">
      <c r="A373" s="13" t="s">
        <v>398</v>
      </c>
      <c r="B373" s="14" t="s">
        <v>397</v>
      </c>
      <c r="C373" s="2" t="s">
        <v>22</v>
      </c>
      <c r="E373" s="4">
        <v>45658</v>
      </c>
      <c r="F373" s="49">
        <v>3423.01</v>
      </c>
      <c r="G373" t="s">
        <v>12</v>
      </c>
    </row>
    <row r="374" spans="1:7">
      <c r="A374" s="13" t="s">
        <v>399</v>
      </c>
      <c r="B374" s="14" t="s">
        <v>397</v>
      </c>
      <c r="C374" s="2" t="s">
        <v>40</v>
      </c>
      <c r="E374" s="4">
        <v>45658</v>
      </c>
      <c r="F374">
        <f>31000/12</f>
        <v>2583.3333333333335</v>
      </c>
      <c r="G374" t="s">
        <v>12</v>
      </c>
    </row>
    <row r="375" spans="1:7">
      <c r="A375" s="13" t="s">
        <v>400</v>
      </c>
      <c r="B375" s="6" t="s">
        <v>397</v>
      </c>
      <c r="C375" s="2" t="s">
        <v>38</v>
      </c>
      <c r="E375" s="4">
        <v>45658</v>
      </c>
      <c r="F375" s="52">
        <v>4437.68</v>
      </c>
      <c r="G375" t="s">
        <v>17</v>
      </c>
    </row>
    <row r="376" spans="1:7" ht="14.25">
      <c r="A376" s="13" t="s">
        <v>401</v>
      </c>
      <c r="B376" s="14" t="s">
        <v>307</v>
      </c>
      <c r="C376" s="2" t="s">
        <v>32</v>
      </c>
      <c r="E376" s="4">
        <v>45658</v>
      </c>
      <c r="F376" s="49">
        <v>1109.17</v>
      </c>
      <c r="G376" t="s">
        <v>12</v>
      </c>
    </row>
    <row r="377" spans="1:7" ht="21.75">
      <c r="A377" s="13" t="s">
        <v>402</v>
      </c>
      <c r="B377" s="14" t="s">
        <v>307</v>
      </c>
      <c r="C377" s="2" t="s">
        <v>22</v>
      </c>
      <c r="E377" s="4">
        <v>45658</v>
      </c>
      <c r="F377" s="49">
        <v>14744.56</v>
      </c>
      <c r="G377" t="s">
        <v>12</v>
      </c>
    </row>
    <row r="378" spans="1:7" ht="15.75">
      <c r="A378" s="13" t="s">
        <v>403</v>
      </c>
      <c r="B378" s="14" t="s">
        <v>307</v>
      </c>
      <c r="C378" s="2" t="s">
        <v>132</v>
      </c>
      <c r="E378" s="4">
        <v>45641</v>
      </c>
      <c r="F378" s="60">
        <v>543.42999999999995</v>
      </c>
      <c r="G378" t="s">
        <v>118</v>
      </c>
    </row>
    <row r="379" spans="1:7" ht="15.75">
      <c r="A379" s="13" t="s">
        <v>404</v>
      </c>
      <c r="B379" s="6" t="s">
        <v>307</v>
      </c>
      <c r="C379" s="2" t="s">
        <v>38</v>
      </c>
      <c r="E379" s="4">
        <v>45658</v>
      </c>
      <c r="F379" s="56">
        <v>6470.93</v>
      </c>
      <c r="G379" t="s">
        <v>12</v>
      </c>
    </row>
    <row r="380" spans="1:7" ht="15.75">
      <c r="A380" s="13" t="s">
        <v>404</v>
      </c>
      <c r="B380" s="6" t="s">
        <v>307</v>
      </c>
      <c r="C380" s="2" t="s">
        <v>38</v>
      </c>
      <c r="E380" s="4">
        <v>45669</v>
      </c>
      <c r="F380" s="56">
        <v>6494.57</v>
      </c>
      <c r="G380" t="s">
        <v>17</v>
      </c>
    </row>
    <row r="381" spans="1:7" ht="15.75">
      <c r="A381" s="13" t="s">
        <v>405</v>
      </c>
      <c r="B381" s="14" t="s">
        <v>406</v>
      </c>
      <c r="C381" s="2" t="s">
        <v>78</v>
      </c>
      <c r="E381" s="4">
        <v>45658</v>
      </c>
      <c r="F381" s="54">
        <v>28266.75</v>
      </c>
      <c r="G381" t="s">
        <v>17</v>
      </c>
    </row>
    <row r="382" spans="1:7" ht="14.25">
      <c r="A382" s="13" t="s">
        <v>407</v>
      </c>
      <c r="B382" s="6" t="s">
        <v>408</v>
      </c>
      <c r="C382" s="18" t="s">
        <v>32</v>
      </c>
      <c r="E382" s="4">
        <v>45658</v>
      </c>
      <c r="F382" s="49">
        <v>341.4</v>
      </c>
      <c r="G382" t="s">
        <v>12</v>
      </c>
    </row>
    <row r="383" spans="1:7" ht="21.75">
      <c r="A383" s="13" t="s">
        <v>409</v>
      </c>
      <c r="B383" s="6" t="s">
        <v>408</v>
      </c>
      <c r="C383" s="18" t="s">
        <v>22</v>
      </c>
      <c r="E383" s="4">
        <v>45658</v>
      </c>
      <c r="F383" s="49">
        <v>2285.73</v>
      </c>
      <c r="G383" t="s">
        <v>12</v>
      </c>
    </row>
    <row r="384" spans="1:7" ht="15.75">
      <c r="A384" s="13" t="s">
        <v>410</v>
      </c>
      <c r="B384" s="14" t="s">
        <v>408</v>
      </c>
      <c r="C384" s="2" t="s">
        <v>38</v>
      </c>
      <c r="E384" s="4">
        <v>45658</v>
      </c>
      <c r="F384" s="56">
        <v>4892.74</v>
      </c>
      <c r="G384" t="s">
        <v>12</v>
      </c>
    </row>
    <row r="385" spans="1:7" ht="15.75">
      <c r="A385" s="13" t="s">
        <v>410</v>
      </c>
      <c r="B385" s="14" t="s">
        <v>408</v>
      </c>
      <c r="C385" s="2" t="s">
        <v>38</v>
      </c>
      <c r="E385" s="4">
        <v>45717</v>
      </c>
      <c r="F385" s="56">
        <v>5159.66</v>
      </c>
      <c r="G385" t="s">
        <v>314</v>
      </c>
    </row>
    <row r="386" spans="1:7" ht="15.75">
      <c r="A386" s="13" t="s">
        <v>410</v>
      </c>
      <c r="B386" s="14" t="s">
        <v>408</v>
      </c>
      <c r="C386" s="2" t="s">
        <v>38</v>
      </c>
      <c r="E386" s="4">
        <v>45778</v>
      </c>
      <c r="F386" s="56">
        <v>5161.3500000000004</v>
      </c>
      <c r="G386" t="s">
        <v>17</v>
      </c>
    </row>
    <row r="387" spans="1:7">
      <c r="A387" s="13" t="s">
        <v>411</v>
      </c>
      <c r="B387" s="14" t="s">
        <v>408</v>
      </c>
      <c r="C387" s="2" t="s">
        <v>40</v>
      </c>
      <c r="E387" s="4">
        <v>45658</v>
      </c>
      <c r="F387">
        <f>30961/12</f>
        <v>2580.0833333333335</v>
      </c>
      <c r="G387" t="s">
        <v>12</v>
      </c>
    </row>
    <row r="388" spans="1:7" ht="84">
      <c r="A388" s="13" t="s">
        <v>412</v>
      </c>
      <c r="B388" s="34" t="s">
        <v>413</v>
      </c>
      <c r="C388" s="35" t="s">
        <v>414</v>
      </c>
    </row>
    <row r="389" spans="1:7" ht="52.5">
      <c r="A389" s="13" t="s">
        <v>415</v>
      </c>
      <c r="B389" s="13" t="s">
        <v>413</v>
      </c>
      <c r="C389" s="35" t="s">
        <v>416</v>
      </c>
      <c r="E389" s="4">
        <v>45658</v>
      </c>
      <c r="F389" s="57">
        <v>467394.8</v>
      </c>
      <c r="G389" t="s">
        <v>12</v>
      </c>
    </row>
    <row r="390" spans="1:7" ht="52.5">
      <c r="A390" s="13" t="s">
        <v>415</v>
      </c>
      <c r="B390" s="13" t="s">
        <v>413</v>
      </c>
      <c r="C390" s="35" t="s">
        <v>416</v>
      </c>
      <c r="E390" s="4">
        <v>45712</v>
      </c>
      <c r="F390" s="57">
        <v>489976.05</v>
      </c>
      <c r="G390" t="s">
        <v>52</v>
      </c>
    </row>
    <row r="391" spans="1:7">
      <c r="A391" s="13" t="s">
        <v>417</v>
      </c>
      <c r="B391" s="14" t="s">
        <v>413</v>
      </c>
      <c r="C391" s="2" t="s">
        <v>418</v>
      </c>
      <c r="E391" s="4">
        <v>45658</v>
      </c>
      <c r="F391" s="52">
        <v>14776.34</v>
      </c>
      <c r="G391" t="s">
        <v>52</v>
      </c>
    </row>
    <row r="392" spans="1:7" ht="42.75">
      <c r="A392" s="13" t="s">
        <v>419</v>
      </c>
      <c r="B392" s="34" t="s">
        <v>413</v>
      </c>
      <c r="C392" s="35" t="s">
        <v>420</v>
      </c>
      <c r="E392" s="4">
        <v>45658</v>
      </c>
      <c r="F392" s="57">
        <f>20193.25/12</f>
        <v>1682.7708333333333</v>
      </c>
      <c r="G392" t="s">
        <v>12</v>
      </c>
    </row>
    <row r="393" spans="1:7" ht="42.75">
      <c r="A393" s="13" t="s">
        <v>419</v>
      </c>
      <c r="B393" s="34" t="s">
        <v>413</v>
      </c>
      <c r="C393" s="35" t="s">
        <v>420</v>
      </c>
      <c r="E393" s="4">
        <v>45775</v>
      </c>
      <c r="F393" s="57">
        <f>21299.27/12</f>
        <v>1774.9391666666668</v>
      </c>
      <c r="G393" t="s">
        <v>52</v>
      </c>
    </row>
    <row r="394" spans="1:7" ht="102">
      <c r="A394" s="13" t="s">
        <v>421</v>
      </c>
      <c r="B394" s="34" t="s">
        <v>413</v>
      </c>
      <c r="C394" s="36" t="s">
        <v>422</v>
      </c>
      <c r="E394" s="4">
        <v>45658</v>
      </c>
      <c r="F394">
        <f>1989000/12</f>
        <v>165750</v>
      </c>
      <c r="G394" t="s">
        <v>12</v>
      </c>
    </row>
    <row r="395" spans="1:7" ht="84">
      <c r="A395" s="15" t="s">
        <v>423</v>
      </c>
      <c r="B395" s="14" t="s">
        <v>413</v>
      </c>
      <c r="C395" s="17" t="s">
        <v>424</v>
      </c>
      <c r="E395" s="4">
        <v>45658</v>
      </c>
      <c r="F395">
        <f>4825498.8/12</f>
        <v>402124.89999999997</v>
      </c>
      <c r="G395" t="s">
        <v>12</v>
      </c>
    </row>
    <row r="396" spans="1:7" ht="74.25">
      <c r="A396" s="15" t="s">
        <v>423</v>
      </c>
      <c r="B396" s="14" t="s">
        <v>413</v>
      </c>
      <c r="C396" s="17" t="s">
        <v>424</v>
      </c>
      <c r="E396" s="4">
        <v>45756</v>
      </c>
      <c r="F396">
        <f>5029984.14/12</f>
        <v>419165.34499999997</v>
      </c>
      <c r="G396" t="s">
        <v>52</v>
      </c>
    </row>
    <row r="397" spans="1:7" ht="24">
      <c r="A397" s="13" t="s">
        <v>425</v>
      </c>
      <c r="B397" s="14" t="s">
        <v>413</v>
      </c>
      <c r="C397" s="2" t="s">
        <v>426</v>
      </c>
      <c r="E397" s="4">
        <v>45658</v>
      </c>
      <c r="F397">
        <f>3669.25/60</f>
        <v>61.154166666666669</v>
      </c>
      <c r="G397" t="s">
        <v>12</v>
      </c>
    </row>
    <row r="398" spans="1:7" ht="14.25">
      <c r="A398" s="13" t="s">
        <v>427</v>
      </c>
      <c r="B398" s="34" t="s">
        <v>413</v>
      </c>
      <c r="C398" s="37" t="s">
        <v>428</v>
      </c>
      <c r="E398" s="4">
        <v>45658</v>
      </c>
      <c r="F398" s="49">
        <v>2500</v>
      </c>
      <c r="G398" t="s">
        <v>12</v>
      </c>
    </row>
    <row r="399" spans="1:7" ht="48">
      <c r="A399" s="13" t="s">
        <v>429</v>
      </c>
      <c r="B399" s="14" t="s">
        <v>413</v>
      </c>
      <c r="C399" s="2" t="s">
        <v>430</v>
      </c>
      <c r="E399" s="4">
        <v>45658</v>
      </c>
      <c r="F399">
        <f>44317.5/12</f>
        <v>3693.125</v>
      </c>
      <c r="G399" t="s">
        <v>12</v>
      </c>
    </row>
    <row r="400" spans="1:7" ht="42.75">
      <c r="A400" s="13" t="s">
        <v>429</v>
      </c>
      <c r="B400" s="14" t="s">
        <v>413</v>
      </c>
      <c r="C400" s="2" t="s">
        <v>430</v>
      </c>
      <c r="E400" s="4">
        <v>45746</v>
      </c>
      <c r="F400">
        <f>46458.61/12</f>
        <v>3871.5508333333332</v>
      </c>
      <c r="G400" t="s">
        <v>52</v>
      </c>
    </row>
    <row r="401" spans="1:7" ht="24">
      <c r="A401" s="13" t="s">
        <v>431</v>
      </c>
      <c r="B401" s="13" t="s">
        <v>413</v>
      </c>
      <c r="C401" s="38" t="s">
        <v>432</v>
      </c>
      <c r="E401" s="4">
        <v>45624</v>
      </c>
      <c r="F401">
        <f>11211.53/12</f>
        <v>934.29416666666668</v>
      </c>
      <c r="G401" t="s">
        <v>325</v>
      </c>
    </row>
    <row r="402" spans="1:7" ht="60">
      <c r="A402" s="13" t="s">
        <v>433</v>
      </c>
      <c r="B402" s="34" t="s">
        <v>413</v>
      </c>
      <c r="C402" s="35" t="s">
        <v>434</v>
      </c>
      <c r="E402" s="4">
        <v>45658</v>
      </c>
      <c r="F402">
        <f>9680.75/12</f>
        <v>806.72916666666663</v>
      </c>
      <c r="G402" t="s">
        <v>12</v>
      </c>
    </row>
    <row r="403" spans="1:7" ht="52.5">
      <c r="A403" s="13" t="s">
        <v>433</v>
      </c>
      <c r="B403" s="34" t="s">
        <v>413</v>
      </c>
      <c r="C403" s="35" t="s">
        <v>434</v>
      </c>
      <c r="E403" s="4">
        <v>45814</v>
      </c>
      <c r="F403">
        <f>10190.29/12</f>
        <v>849.19083333333344</v>
      </c>
      <c r="G403" t="s">
        <v>52</v>
      </c>
    </row>
    <row r="404" spans="1:7" ht="60">
      <c r="A404" s="13" t="s">
        <v>435</v>
      </c>
      <c r="B404" s="34" t="s">
        <v>413</v>
      </c>
      <c r="C404" s="39" t="s">
        <v>436</v>
      </c>
      <c r="E404" s="4">
        <v>45658</v>
      </c>
      <c r="F404">
        <f>56035.174/12</f>
        <v>4669.5978333333333</v>
      </c>
      <c r="G404" t="s">
        <v>12</v>
      </c>
    </row>
    <row r="405" spans="1:7" ht="42.75">
      <c r="A405" s="13" t="s">
        <v>435</v>
      </c>
      <c r="B405" s="34" t="s">
        <v>413</v>
      </c>
      <c r="C405" s="39" t="s">
        <v>436</v>
      </c>
      <c r="E405" s="4">
        <v>45899</v>
      </c>
      <c r="F405">
        <f>62119.86/12</f>
        <v>5176.6549999999997</v>
      </c>
      <c r="G405" t="s">
        <v>52</v>
      </c>
    </row>
    <row r="406" spans="1:7" ht="36">
      <c r="A406" s="13" t="s">
        <v>437</v>
      </c>
      <c r="B406" s="14" t="s">
        <v>413</v>
      </c>
      <c r="C406" s="2" t="s">
        <v>438</v>
      </c>
      <c r="E406" s="4">
        <v>45579</v>
      </c>
      <c r="F406">
        <f>90577.68/30</f>
        <v>3019.2559999999999</v>
      </c>
      <c r="G406" t="s">
        <v>325</v>
      </c>
    </row>
    <row r="407" spans="1:7" ht="36">
      <c r="A407" s="13" t="s">
        <v>439</v>
      </c>
      <c r="B407" s="34" t="s">
        <v>413</v>
      </c>
      <c r="C407" s="40" t="s">
        <v>440</v>
      </c>
      <c r="E407" s="4">
        <v>45656</v>
      </c>
      <c r="F407">
        <f>75751.5/12</f>
        <v>6312.625</v>
      </c>
      <c r="G407" t="s">
        <v>325</v>
      </c>
    </row>
    <row r="408" spans="1:7" ht="24">
      <c r="A408" s="13" t="s">
        <v>441</v>
      </c>
      <c r="B408" s="14" t="s">
        <v>413</v>
      </c>
      <c r="C408" s="2" t="s">
        <v>442</v>
      </c>
      <c r="E408" s="4">
        <v>45554</v>
      </c>
      <c r="F408">
        <f>277616.11/30</f>
        <v>9253.8703333333324</v>
      </c>
      <c r="G408" t="s">
        <v>325</v>
      </c>
    </row>
    <row r="409" spans="1:7" ht="24">
      <c r="A409" s="13" t="s">
        <v>443</v>
      </c>
      <c r="B409" s="14" t="s">
        <v>413</v>
      </c>
      <c r="C409" s="14" t="s">
        <v>442</v>
      </c>
      <c r="E409" s="4">
        <v>45554</v>
      </c>
      <c r="F409">
        <f>871920.45/30</f>
        <v>29064.014999999999</v>
      </c>
      <c r="G409" t="s">
        <v>325</v>
      </c>
    </row>
    <row r="410" spans="1:7">
      <c r="A410" s="13" t="s">
        <v>444</v>
      </c>
      <c r="B410" s="14" t="s">
        <v>413</v>
      </c>
      <c r="C410" s="2" t="s">
        <v>445</v>
      </c>
      <c r="E410" s="4">
        <v>45656</v>
      </c>
      <c r="F410" s="62">
        <v>3888.25</v>
      </c>
      <c r="G410" t="s">
        <v>325</v>
      </c>
    </row>
    <row r="411" spans="1:7" ht="14.25">
      <c r="A411" s="13" t="s">
        <v>446</v>
      </c>
      <c r="B411" s="14" t="s">
        <v>413</v>
      </c>
      <c r="C411" s="2" t="s">
        <v>447</v>
      </c>
      <c r="E411" s="4">
        <v>45658</v>
      </c>
      <c r="F411" s="49">
        <v>16900</v>
      </c>
      <c r="G411" t="s">
        <v>12</v>
      </c>
    </row>
    <row r="412" spans="1:7" ht="144">
      <c r="A412" s="13" t="s">
        <v>448</v>
      </c>
      <c r="B412" s="34" t="s">
        <v>413</v>
      </c>
      <c r="C412" s="35" t="s">
        <v>449</v>
      </c>
      <c r="E412" s="4">
        <v>45658</v>
      </c>
      <c r="F412">
        <f>8280/12</f>
        <v>690</v>
      </c>
      <c r="G412" t="s">
        <v>12</v>
      </c>
    </row>
    <row r="413" spans="1:7" ht="63.75">
      <c r="A413" s="13" t="s">
        <v>450</v>
      </c>
      <c r="B413" s="34" t="s">
        <v>413</v>
      </c>
      <c r="C413" s="2" t="s">
        <v>451</v>
      </c>
      <c r="E413" s="4">
        <v>45692</v>
      </c>
      <c r="F413" s="49">
        <v>3150</v>
      </c>
      <c r="G413" t="s">
        <v>12</v>
      </c>
    </row>
    <row r="414" spans="1:7" ht="32.25">
      <c r="A414" s="13" t="s">
        <v>452</v>
      </c>
      <c r="B414" s="34" t="s">
        <v>413</v>
      </c>
      <c r="C414" s="2" t="s">
        <v>453</v>
      </c>
      <c r="E414" s="4">
        <v>45770</v>
      </c>
      <c r="F414" s="49">
        <v>52.181249999999999</v>
      </c>
      <c r="G414" t="s">
        <v>12</v>
      </c>
    </row>
    <row r="415" spans="1:7" ht="52.5">
      <c r="A415" s="13" t="s">
        <v>454</v>
      </c>
      <c r="B415" s="34" t="s">
        <v>413</v>
      </c>
      <c r="C415" s="2" t="s">
        <v>455</v>
      </c>
      <c r="E415" s="4">
        <v>45686</v>
      </c>
      <c r="F415" s="61">
        <v>255.6</v>
      </c>
      <c r="G415" t="s">
        <v>12</v>
      </c>
    </row>
    <row r="416" spans="1:7" ht="170.25">
      <c r="A416" s="13" t="s">
        <v>456</v>
      </c>
      <c r="B416" s="34" t="s">
        <v>413</v>
      </c>
      <c r="C416" s="2" t="s">
        <v>457</v>
      </c>
      <c r="E416" s="4">
        <v>45777</v>
      </c>
      <c r="F416" s="63">
        <v>125005.75999999999</v>
      </c>
      <c r="G416" t="s">
        <v>12</v>
      </c>
    </row>
    <row r="417" spans="1:7" ht="170.25">
      <c r="A417" s="13" t="s">
        <v>456</v>
      </c>
      <c r="B417" s="34" t="s">
        <v>413</v>
      </c>
      <c r="C417" s="2" t="s">
        <v>457</v>
      </c>
      <c r="E417" s="64">
        <v>45777</v>
      </c>
      <c r="F417" s="63">
        <v>146903.7475</v>
      </c>
      <c r="G417" t="s">
        <v>458</v>
      </c>
    </row>
    <row r="418" spans="1:7" ht="42.75">
      <c r="A418" s="13" t="s">
        <v>459</v>
      </c>
      <c r="B418" s="34" t="s">
        <v>413</v>
      </c>
      <c r="C418" s="2" t="s">
        <v>460</v>
      </c>
      <c r="E418" s="4">
        <v>45730</v>
      </c>
      <c r="F418" s="65">
        <v>730</v>
      </c>
      <c r="G418" t="s">
        <v>12</v>
      </c>
    </row>
    <row r="419" spans="1:7">
      <c r="A419" s="14" t="s">
        <v>461</v>
      </c>
      <c r="B419" s="14" t="s">
        <v>46</v>
      </c>
      <c r="C419" s="2" t="s">
        <v>462</v>
      </c>
      <c r="E419" s="4">
        <v>45658</v>
      </c>
      <c r="F419" s="52">
        <v>8542.52</v>
      </c>
      <c r="G419" t="s">
        <v>12</v>
      </c>
    </row>
    <row r="420" spans="1:7">
      <c r="A420" s="14" t="s">
        <v>461</v>
      </c>
      <c r="B420" s="14" t="s">
        <v>18</v>
      </c>
      <c r="C420" s="2" t="s">
        <v>462</v>
      </c>
      <c r="E420" s="4">
        <v>45658</v>
      </c>
      <c r="F420" s="52">
        <v>8646.18</v>
      </c>
      <c r="G420" t="s">
        <v>12</v>
      </c>
    </row>
    <row r="421" spans="1:7">
      <c r="A421" s="14" t="s">
        <v>461</v>
      </c>
      <c r="B421" s="14" t="s">
        <v>46</v>
      </c>
      <c r="C421" s="2" t="s">
        <v>462</v>
      </c>
      <c r="D421" s="4">
        <v>45671</v>
      </c>
      <c r="F421" s="52"/>
      <c r="G421" t="s">
        <v>388</v>
      </c>
    </row>
    <row r="422" spans="1:7">
      <c r="A422" s="14" t="s">
        <v>461</v>
      </c>
      <c r="B422" s="14" t="s">
        <v>18</v>
      </c>
      <c r="C422" s="2" t="s">
        <v>462</v>
      </c>
      <c r="D422" s="4">
        <v>45671</v>
      </c>
      <c r="F422" s="52"/>
      <c r="G422" t="s">
        <v>388</v>
      </c>
    </row>
    <row r="423" spans="1:7">
      <c r="A423" s="14" t="s">
        <v>463</v>
      </c>
      <c r="B423" s="14" t="s">
        <v>18</v>
      </c>
      <c r="C423" s="2" t="s">
        <v>44</v>
      </c>
      <c r="E423" s="4">
        <v>45365</v>
      </c>
      <c r="F423" s="66">
        <v>11113.55</v>
      </c>
      <c r="G423" t="s">
        <v>12</v>
      </c>
    </row>
    <row r="424" spans="1:7">
      <c r="A424" s="14" t="s">
        <v>463</v>
      </c>
      <c r="B424" s="14" t="s">
        <v>46</v>
      </c>
      <c r="C424" s="2" t="s">
        <v>44</v>
      </c>
      <c r="E424" s="4">
        <v>45365</v>
      </c>
      <c r="F424" s="66">
        <v>11131.22</v>
      </c>
      <c r="G424" t="s">
        <v>12</v>
      </c>
    </row>
    <row r="425" spans="1:7">
      <c r="A425" s="14" t="s">
        <v>463</v>
      </c>
      <c r="B425" s="14" t="s">
        <v>18</v>
      </c>
      <c r="C425" s="2" t="s">
        <v>44</v>
      </c>
      <c r="D425" s="4">
        <v>45748</v>
      </c>
      <c r="E425" s="4"/>
      <c r="F425" s="66"/>
      <c r="G425" t="s">
        <v>388</v>
      </c>
    </row>
    <row r="426" spans="1:7">
      <c r="A426" s="14" t="s">
        <v>463</v>
      </c>
      <c r="B426" s="14" t="s">
        <v>46</v>
      </c>
      <c r="C426" s="2" t="s">
        <v>44</v>
      </c>
      <c r="D426" s="4">
        <v>45748</v>
      </c>
      <c r="E426" s="4"/>
      <c r="F426" s="66"/>
      <c r="G426" t="s">
        <v>388</v>
      </c>
    </row>
    <row r="427" spans="1:7" ht="76.5">
      <c r="A427" s="5" t="s">
        <v>464</v>
      </c>
      <c r="B427" s="6" t="s">
        <v>10</v>
      </c>
      <c r="C427" s="3" t="s">
        <v>465</v>
      </c>
      <c r="E427" s="4">
        <v>45944</v>
      </c>
      <c r="F427">
        <f>23100/12</f>
        <v>1925</v>
      </c>
      <c r="G427" t="s">
        <v>12</v>
      </c>
    </row>
    <row r="428" spans="1:7" ht="15.75">
      <c r="A428" s="15" t="s">
        <v>466</v>
      </c>
      <c r="B428" s="16" t="s">
        <v>467</v>
      </c>
      <c r="C428" s="19" t="s">
        <v>38</v>
      </c>
      <c r="E428" s="4">
        <v>45839</v>
      </c>
      <c r="F428" s="57">
        <v>44916.639999999999</v>
      </c>
      <c r="G428" t="s">
        <v>12</v>
      </c>
    </row>
    <row r="429" spans="1:7" ht="14.25">
      <c r="A429" s="15" t="s">
        <v>468</v>
      </c>
      <c r="B429" s="16" t="s">
        <v>467</v>
      </c>
      <c r="C429" s="18" t="s">
        <v>32</v>
      </c>
      <c r="E429" s="4">
        <v>45911</v>
      </c>
      <c r="F429" s="71">
        <v>4000</v>
      </c>
      <c r="G429" t="s">
        <v>12</v>
      </c>
    </row>
    <row r="430" spans="1:7" ht="21.75">
      <c r="A430" s="15" t="s">
        <v>469</v>
      </c>
      <c r="B430" s="16" t="s">
        <v>467</v>
      </c>
      <c r="C430" s="2" t="s">
        <v>22</v>
      </c>
      <c r="E430" s="4">
        <v>45909</v>
      </c>
      <c r="F430" s="71">
        <v>38236.088000000003</v>
      </c>
      <c r="G430" t="s">
        <v>12</v>
      </c>
    </row>
    <row r="431" spans="1:7">
      <c r="A431" s="13" t="s">
        <v>470</v>
      </c>
      <c r="B431" s="14" t="s">
        <v>19</v>
      </c>
      <c r="C431" s="2" t="s">
        <v>40</v>
      </c>
      <c r="E431" s="4">
        <v>45875</v>
      </c>
      <c r="F431">
        <f>14833.56/12</f>
        <v>1236.1299999999999</v>
      </c>
      <c r="G431" t="s">
        <v>12</v>
      </c>
    </row>
    <row r="432" spans="1:7">
      <c r="A432" s="13" t="s">
        <v>470</v>
      </c>
      <c r="B432" s="14" t="s">
        <v>20</v>
      </c>
      <c r="C432" s="2" t="s">
        <v>40</v>
      </c>
      <c r="E432" s="4">
        <v>45875</v>
      </c>
      <c r="F432">
        <f>57183.99/12</f>
        <v>4765.3324999999995</v>
      </c>
      <c r="G432" t="s">
        <v>12</v>
      </c>
    </row>
    <row r="433" spans="1:7" ht="17.25">
      <c r="A433" s="13" t="s">
        <v>471</v>
      </c>
      <c r="B433" s="14" t="s">
        <v>472</v>
      </c>
      <c r="C433" s="2" t="s">
        <v>78</v>
      </c>
      <c r="E433" s="4">
        <v>45903</v>
      </c>
      <c r="F433" s="58">
        <v>10175</v>
      </c>
      <c r="G433" t="s">
        <v>12</v>
      </c>
    </row>
    <row r="434" spans="1:7">
      <c r="A434" s="13" t="s">
        <v>473</v>
      </c>
      <c r="B434" s="6" t="s">
        <v>20</v>
      </c>
      <c r="C434" s="2" t="s">
        <v>38</v>
      </c>
      <c r="E434" s="4">
        <v>45658</v>
      </c>
      <c r="F434" s="52">
        <v>5102.24</v>
      </c>
      <c r="G434" t="s">
        <v>17</v>
      </c>
    </row>
    <row r="435" spans="1:7" ht="32.25">
      <c r="A435" s="15" t="s">
        <v>474</v>
      </c>
      <c r="B435" s="22" t="s">
        <v>475</v>
      </c>
      <c r="C435" s="19" t="s">
        <v>476</v>
      </c>
      <c r="E435" s="4">
        <v>45839</v>
      </c>
      <c r="F435" s="60">
        <v>975</v>
      </c>
      <c r="G435" t="s">
        <v>12</v>
      </c>
    </row>
    <row r="436" spans="1:7" ht="15.75">
      <c r="A436" s="13" t="s">
        <v>477</v>
      </c>
      <c r="B436" s="14" t="s">
        <v>478</v>
      </c>
      <c r="C436" s="2" t="s">
        <v>38</v>
      </c>
      <c r="E436" s="4">
        <v>45874</v>
      </c>
      <c r="F436" s="57">
        <v>6499.99</v>
      </c>
      <c r="G436" t="s">
        <v>12</v>
      </c>
    </row>
    <row r="437" spans="1:7" ht="15.75">
      <c r="A437" s="13" t="s">
        <v>479</v>
      </c>
      <c r="B437" s="6" t="s">
        <v>77</v>
      </c>
      <c r="C437" s="2" t="s">
        <v>38</v>
      </c>
      <c r="E437" s="4">
        <v>45939</v>
      </c>
      <c r="F437" s="57">
        <v>5466.66</v>
      </c>
      <c r="G437" t="s">
        <v>12</v>
      </c>
    </row>
    <row r="438" spans="1:7" ht="15.75">
      <c r="A438" s="13" t="s">
        <v>480</v>
      </c>
      <c r="B438" s="14" t="s">
        <v>481</v>
      </c>
      <c r="C438" s="2" t="s">
        <v>78</v>
      </c>
      <c r="E438" s="4">
        <v>45833</v>
      </c>
      <c r="F438" s="57">
        <v>11086.14</v>
      </c>
      <c r="G438" t="s">
        <v>12</v>
      </c>
    </row>
    <row r="439" spans="1:7" ht="14.25">
      <c r="A439" s="13" t="s">
        <v>482</v>
      </c>
      <c r="B439" s="14" t="s">
        <v>483</v>
      </c>
      <c r="C439" s="2" t="s">
        <v>32</v>
      </c>
      <c r="E439" s="4">
        <v>45804</v>
      </c>
      <c r="F439" s="49">
        <v>1372.97</v>
      </c>
      <c r="G439" t="s">
        <v>12</v>
      </c>
    </row>
    <row r="440" spans="1:7">
      <c r="A440" s="13" t="s">
        <v>484</v>
      </c>
      <c r="B440" s="14" t="s">
        <v>483</v>
      </c>
      <c r="C440" s="18" t="s">
        <v>40</v>
      </c>
      <c r="E440" s="4">
        <v>45870</v>
      </c>
      <c r="F440">
        <f>52508.02/12</f>
        <v>4375.6683333333331</v>
      </c>
      <c r="G440" t="s">
        <v>12</v>
      </c>
    </row>
    <row r="441" spans="1:7" ht="15.75">
      <c r="A441" s="15" t="s">
        <v>485</v>
      </c>
      <c r="B441" s="6" t="s">
        <v>486</v>
      </c>
      <c r="C441" s="19" t="s">
        <v>38</v>
      </c>
      <c r="E441" s="4">
        <v>45803</v>
      </c>
      <c r="F441" s="57">
        <v>4652.9799999999996</v>
      </c>
      <c r="G441" t="s">
        <v>12</v>
      </c>
    </row>
    <row r="442" spans="1:7" ht="15.75">
      <c r="A442" s="13" t="s">
        <v>487</v>
      </c>
      <c r="B442" s="6" t="s">
        <v>486</v>
      </c>
      <c r="C442" s="2" t="s">
        <v>78</v>
      </c>
      <c r="E442" s="4">
        <v>45945</v>
      </c>
      <c r="F442" s="57">
        <v>11687.5</v>
      </c>
      <c r="G442" t="s">
        <v>12</v>
      </c>
    </row>
    <row r="443" spans="1:7" ht="15.75">
      <c r="A443" s="14" t="s">
        <v>488</v>
      </c>
      <c r="B443" s="14" t="s">
        <v>489</v>
      </c>
      <c r="C443" s="2" t="s">
        <v>78</v>
      </c>
      <c r="E443" s="4">
        <v>45839</v>
      </c>
      <c r="F443" s="57">
        <v>11413.68</v>
      </c>
      <c r="G443" t="s">
        <v>12</v>
      </c>
    </row>
    <row r="444" spans="1:7" ht="15.75">
      <c r="A444" s="14" t="s">
        <v>488</v>
      </c>
      <c r="B444" s="14" t="s">
        <v>180</v>
      </c>
      <c r="C444" s="2" t="s">
        <v>78</v>
      </c>
      <c r="E444" s="4">
        <v>45839</v>
      </c>
      <c r="F444" s="57">
        <v>11427.06</v>
      </c>
      <c r="G444" t="s">
        <v>12</v>
      </c>
    </row>
    <row r="445" spans="1:7" ht="14.25">
      <c r="A445" s="25" t="s">
        <v>490</v>
      </c>
      <c r="B445" s="25" t="s">
        <v>134</v>
      </c>
      <c r="C445" s="24" t="s">
        <v>40</v>
      </c>
      <c r="E445" s="4">
        <v>45870</v>
      </c>
      <c r="F445" s="49">
        <f>16566.23/12</f>
        <v>1380.5191666666667</v>
      </c>
      <c r="G445" t="s">
        <v>12</v>
      </c>
    </row>
    <row r="446" spans="1:7" ht="14.25">
      <c r="A446" s="25" t="s">
        <v>490</v>
      </c>
      <c r="B446" s="25" t="s">
        <v>163</v>
      </c>
      <c r="C446" s="24" t="s">
        <v>40</v>
      </c>
      <c r="E446" s="4">
        <v>45870</v>
      </c>
      <c r="F446" s="49">
        <f>54729.99/12</f>
        <v>4560.8324999999995</v>
      </c>
      <c r="G446" t="s">
        <v>12</v>
      </c>
    </row>
    <row r="447" spans="1:7" ht="14.25">
      <c r="A447" s="25" t="s">
        <v>490</v>
      </c>
      <c r="B447" s="25" t="s">
        <v>112</v>
      </c>
      <c r="C447" s="24" t="s">
        <v>40</v>
      </c>
      <c r="E447" s="4">
        <v>45870</v>
      </c>
      <c r="F447" s="49">
        <f>14010.87/12</f>
        <v>1167.5725</v>
      </c>
      <c r="G447" t="s">
        <v>12</v>
      </c>
    </row>
    <row r="448" spans="1:7" ht="14.25">
      <c r="A448" s="25" t="s">
        <v>490</v>
      </c>
      <c r="B448" s="25" t="s">
        <v>113</v>
      </c>
      <c r="C448" s="24" t="s">
        <v>40</v>
      </c>
      <c r="E448" s="4">
        <v>45870</v>
      </c>
      <c r="F448" s="49">
        <f>61434.08/12</f>
        <v>5119.5066666666671</v>
      </c>
      <c r="G448" t="s">
        <v>12</v>
      </c>
    </row>
    <row r="449" spans="1:7" ht="14.25">
      <c r="A449" s="25" t="s">
        <v>490</v>
      </c>
      <c r="B449" s="25" t="s">
        <v>114</v>
      </c>
      <c r="C449" s="24" t="s">
        <v>40</v>
      </c>
      <c r="E449" s="4">
        <v>45870</v>
      </c>
      <c r="F449" s="49">
        <f>22126.95/12</f>
        <v>1843.9125000000001</v>
      </c>
      <c r="G449" t="s">
        <v>12</v>
      </c>
    </row>
    <row r="450" spans="1:7" ht="14.25">
      <c r="A450" s="25" t="s">
        <v>490</v>
      </c>
      <c r="B450" s="25" t="s">
        <v>138</v>
      </c>
      <c r="C450" s="24" t="s">
        <v>40</v>
      </c>
      <c r="E450" s="4">
        <v>45870</v>
      </c>
      <c r="F450" s="49">
        <f>19346.59/12</f>
        <v>1612.2158333333334</v>
      </c>
      <c r="G450" t="s">
        <v>12</v>
      </c>
    </row>
    <row r="451" spans="1:7" ht="14.25">
      <c r="A451" s="25" t="s">
        <v>490</v>
      </c>
      <c r="B451" s="25" t="s">
        <v>141</v>
      </c>
      <c r="C451" s="24" t="s">
        <v>40</v>
      </c>
      <c r="E451" s="4">
        <v>45870</v>
      </c>
      <c r="F451" s="49">
        <f>14010.87/2</f>
        <v>7005.4350000000004</v>
      </c>
      <c r="G451" t="s">
        <v>12</v>
      </c>
    </row>
    <row r="452" spans="1:7" ht="14.25">
      <c r="A452" s="25" t="s">
        <v>490</v>
      </c>
      <c r="B452" s="25" t="s">
        <v>138</v>
      </c>
      <c r="C452" s="24" t="s">
        <v>40</v>
      </c>
      <c r="E452" s="4">
        <v>45912</v>
      </c>
      <c r="F452" s="49">
        <v>0</v>
      </c>
      <c r="G452" t="s">
        <v>120</v>
      </c>
    </row>
    <row r="453" spans="1:7" ht="15.75">
      <c r="A453" s="13" t="s">
        <v>491</v>
      </c>
      <c r="B453" s="14" t="s">
        <v>122</v>
      </c>
      <c r="C453" s="2" t="s">
        <v>78</v>
      </c>
      <c r="E453" s="4">
        <v>45902</v>
      </c>
      <c r="F453" s="56">
        <v>5690</v>
      </c>
      <c r="G453" t="s">
        <v>12</v>
      </c>
    </row>
    <row r="454" spans="1:7">
      <c r="A454" s="15" t="s">
        <v>492</v>
      </c>
      <c r="B454" s="14" t="s">
        <v>138</v>
      </c>
      <c r="C454" s="17" t="s">
        <v>56</v>
      </c>
      <c r="E454" s="4">
        <v>45839</v>
      </c>
      <c r="F454" s="67">
        <v>11642.68</v>
      </c>
      <c r="G454" t="s">
        <v>12</v>
      </c>
    </row>
    <row r="455" spans="1:7">
      <c r="A455" s="15" t="s">
        <v>492</v>
      </c>
      <c r="B455" s="14" t="s">
        <v>156</v>
      </c>
      <c r="C455" s="17" t="s">
        <v>56</v>
      </c>
      <c r="E455" s="4">
        <v>45839</v>
      </c>
      <c r="F455" s="67">
        <v>11455.36</v>
      </c>
      <c r="G455" t="s">
        <v>12</v>
      </c>
    </row>
    <row r="456" spans="1:7" ht="14.25">
      <c r="A456" s="13" t="s">
        <v>493</v>
      </c>
      <c r="B456" s="14" t="s">
        <v>138</v>
      </c>
      <c r="C456" s="41" t="s">
        <v>32</v>
      </c>
      <c r="E456" s="4">
        <v>45826</v>
      </c>
      <c r="F456" s="49">
        <v>1784.6</v>
      </c>
      <c r="G456" t="s">
        <v>12</v>
      </c>
    </row>
    <row r="457" spans="1:7" ht="15.75">
      <c r="A457" s="13" t="s">
        <v>494</v>
      </c>
      <c r="B457" s="2" t="s">
        <v>138</v>
      </c>
      <c r="C457" s="42" t="s">
        <v>38</v>
      </c>
      <c r="E457" s="4">
        <v>45939</v>
      </c>
      <c r="F457" s="56">
        <v>14467.67</v>
      </c>
      <c r="G457" t="s">
        <v>12</v>
      </c>
    </row>
    <row r="458" spans="1:7">
      <c r="A458" s="13" t="s">
        <v>495</v>
      </c>
      <c r="B458" s="14" t="s">
        <v>149</v>
      </c>
      <c r="C458" s="2" t="s">
        <v>56</v>
      </c>
      <c r="E458" s="4">
        <v>45902</v>
      </c>
      <c r="F458" s="52">
        <v>6181.26</v>
      </c>
      <c r="G458" t="s">
        <v>12</v>
      </c>
    </row>
    <row r="459" spans="1:7">
      <c r="A459" s="13" t="s">
        <v>495</v>
      </c>
      <c r="B459" s="14" t="s">
        <v>204</v>
      </c>
      <c r="C459" s="2" t="s">
        <v>56</v>
      </c>
      <c r="E459" s="4">
        <v>45902</v>
      </c>
      <c r="F459" s="52">
        <v>12535.1</v>
      </c>
      <c r="G459" t="s">
        <v>12</v>
      </c>
    </row>
    <row r="460" spans="1:7" ht="15.75">
      <c r="A460" s="13" t="s">
        <v>496</v>
      </c>
      <c r="B460" s="14" t="s">
        <v>163</v>
      </c>
      <c r="C460" s="2" t="s">
        <v>38</v>
      </c>
      <c r="E460" s="4">
        <v>45945</v>
      </c>
      <c r="F460" s="56">
        <v>9074.74</v>
      </c>
      <c r="G460" t="s">
        <v>12</v>
      </c>
    </row>
    <row r="461" spans="1:7" ht="15.75">
      <c r="A461" s="15" t="s">
        <v>497</v>
      </c>
      <c r="B461" s="22" t="s">
        <v>167</v>
      </c>
      <c r="C461" s="19" t="s">
        <v>78</v>
      </c>
      <c r="E461" s="4">
        <v>45902</v>
      </c>
      <c r="F461" s="56">
        <v>12245.7</v>
      </c>
      <c r="G461" t="s">
        <v>12</v>
      </c>
    </row>
    <row r="462" spans="1:7" ht="15.75">
      <c r="A462" s="13" t="s">
        <v>498</v>
      </c>
      <c r="B462" s="14" t="s">
        <v>119</v>
      </c>
      <c r="C462" s="2" t="s">
        <v>78</v>
      </c>
      <c r="E462" s="4">
        <v>45902</v>
      </c>
      <c r="F462" s="56">
        <v>24664.44</v>
      </c>
      <c r="G462" t="s">
        <v>12</v>
      </c>
    </row>
    <row r="463" spans="1:7" ht="15.75">
      <c r="A463" s="13" t="s">
        <v>499</v>
      </c>
      <c r="B463" s="6" t="s">
        <v>113</v>
      </c>
      <c r="C463" s="2" t="s">
        <v>38</v>
      </c>
      <c r="E463" s="4">
        <v>45945</v>
      </c>
      <c r="F463" s="56">
        <v>14999.97</v>
      </c>
      <c r="G463" t="s">
        <v>12</v>
      </c>
    </row>
    <row r="464" spans="1:7" ht="15.75">
      <c r="A464" s="13" t="s">
        <v>500</v>
      </c>
      <c r="B464" s="6" t="s">
        <v>200</v>
      </c>
      <c r="C464" s="2" t="s">
        <v>38</v>
      </c>
      <c r="E464" s="4">
        <v>45901</v>
      </c>
      <c r="F464" s="56">
        <v>9536.9599999999991</v>
      </c>
      <c r="G464" t="s">
        <v>12</v>
      </c>
    </row>
    <row r="465" spans="1:7" ht="15.75">
      <c r="A465" s="13" t="s">
        <v>501</v>
      </c>
      <c r="B465" s="14" t="s">
        <v>200</v>
      </c>
      <c r="C465" s="2" t="s">
        <v>78</v>
      </c>
      <c r="E465" s="4">
        <v>45870</v>
      </c>
      <c r="F465" s="56">
        <v>18990.900000000001</v>
      </c>
      <c r="G465" t="s">
        <v>12</v>
      </c>
    </row>
    <row r="466" spans="1:7">
      <c r="A466" s="13" t="s">
        <v>502</v>
      </c>
      <c r="B466" s="14" t="s">
        <v>234</v>
      </c>
      <c r="C466" s="6" t="s">
        <v>40</v>
      </c>
      <c r="E466" s="4">
        <v>45881</v>
      </c>
      <c r="F466">
        <f>24777/12</f>
        <v>2064.75</v>
      </c>
      <c r="G466" t="s">
        <v>12</v>
      </c>
    </row>
    <row r="467" spans="1:7">
      <c r="A467" s="13" t="s">
        <v>502</v>
      </c>
      <c r="B467" s="14" t="s">
        <v>286</v>
      </c>
      <c r="C467" s="6" t="s">
        <v>40</v>
      </c>
      <c r="E467" s="4">
        <v>45881</v>
      </c>
      <c r="F467">
        <f>33250/12</f>
        <v>2770.8333333333335</v>
      </c>
      <c r="G467" t="s">
        <v>12</v>
      </c>
    </row>
    <row r="468" spans="1:7">
      <c r="A468" s="13" t="s">
        <v>502</v>
      </c>
      <c r="B468" s="14" t="s">
        <v>241</v>
      </c>
      <c r="C468" s="6" t="s">
        <v>40</v>
      </c>
      <c r="E468" s="4">
        <v>45881</v>
      </c>
      <c r="F468">
        <f>96606/12</f>
        <v>8050.5</v>
      </c>
      <c r="G468" t="s">
        <v>12</v>
      </c>
    </row>
    <row r="469" spans="1:7" ht="63.75">
      <c r="A469" s="13" t="s">
        <v>503</v>
      </c>
      <c r="B469" s="14" t="s">
        <v>504</v>
      </c>
      <c r="C469" s="2" t="s">
        <v>78</v>
      </c>
      <c r="E469" s="4">
        <v>45853</v>
      </c>
      <c r="F469" s="57">
        <v>66356.14</v>
      </c>
      <c r="G469" t="s">
        <v>12</v>
      </c>
    </row>
    <row r="470" spans="1:7" ht="15.75">
      <c r="A470" s="13" t="s">
        <v>505</v>
      </c>
      <c r="B470" s="14" t="s">
        <v>506</v>
      </c>
      <c r="C470" s="18" t="s">
        <v>507</v>
      </c>
      <c r="E470" s="4">
        <v>45852</v>
      </c>
      <c r="F470" s="57">
        <v>13999.86</v>
      </c>
      <c r="G470" t="s">
        <v>12</v>
      </c>
    </row>
    <row r="471" spans="1:7" ht="15.75">
      <c r="A471" s="13" t="s">
        <v>508</v>
      </c>
      <c r="B471" s="14" t="s">
        <v>241</v>
      </c>
      <c r="C471" s="18" t="s">
        <v>507</v>
      </c>
      <c r="E471" s="4">
        <v>45852</v>
      </c>
      <c r="F471" s="57">
        <v>13865.66</v>
      </c>
      <c r="G471" t="s">
        <v>12</v>
      </c>
    </row>
    <row r="472" spans="1:7" ht="15.75">
      <c r="A472" s="13" t="s">
        <v>509</v>
      </c>
      <c r="B472" s="14" t="s">
        <v>252</v>
      </c>
      <c r="C472" s="18" t="s">
        <v>507</v>
      </c>
      <c r="E472" s="4">
        <v>45852</v>
      </c>
      <c r="F472" s="57">
        <v>13999.98</v>
      </c>
      <c r="G472" t="s">
        <v>12</v>
      </c>
    </row>
    <row r="473" spans="1:7">
      <c r="A473" s="13" t="s">
        <v>510</v>
      </c>
      <c r="B473" s="14" t="s">
        <v>224</v>
      </c>
      <c r="C473" s="2" t="s">
        <v>511</v>
      </c>
      <c r="E473" s="4">
        <v>45841</v>
      </c>
      <c r="F473">
        <f>35000/6</f>
        <v>5833.333333333333</v>
      </c>
      <c r="G473" t="s">
        <v>12</v>
      </c>
    </row>
    <row r="474" spans="1:7" ht="15.75">
      <c r="A474" s="13" t="s">
        <v>512</v>
      </c>
      <c r="B474" s="6" t="s">
        <v>265</v>
      </c>
      <c r="C474" s="18" t="s">
        <v>507</v>
      </c>
      <c r="E474" s="4">
        <v>45852</v>
      </c>
      <c r="F474" s="57">
        <v>13590.3</v>
      </c>
      <c r="G474" t="s">
        <v>12</v>
      </c>
    </row>
    <row r="475" spans="1:7" ht="15.75">
      <c r="A475" s="13" t="s">
        <v>513</v>
      </c>
      <c r="B475" s="14" t="s">
        <v>286</v>
      </c>
      <c r="C475" s="18" t="s">
        <v>507</v>
      </c>
      <c r="E475" s="4">
        <v>45852</v>
      </c>
      <c r="F475" s="57">
        <v>13999.72</v>
      </c>
      <c r="G475" t="s">
        <v>12</v>
      </c>
    </row>
    <row r="476" spans="1:7" ht="15.75">
      <c r="A476" s="43" t="s">
        <v>514</v>
      </c>
      <c r="B476" s="44" t="s">
        <v>303</v>
      </c>
      <c r="C476" s="44" t="s">
        <v>38</v>
      </c>
      <c r="E476" s="4">
        <v>45937</v>
      </c>
      <c r="F476" s="57">
        <v>18281.12</v>
      </c>
      <c r="G476" t="s">
        <v>12</v>
      </c>
    </row>
    <row r="477" spans="1:7" ht="15.75">
      <c r="A477" s="13" t="s">
        <v>515</v>
      </c>
      <c r="B477" s="14" t="s">
        <v>516</v>
      </c>
      <c r="C477" s="2" t="s">
        <v>38</v>
      </c>
      <c r="E477" s="4">
        <v>45937</v>
      </c>
      <c r="F477" s="57">
        <v>6204.01</v>
      </c>
      <c r="G477" t="s">
        <v>12</v>
      </c>
    </row>
    <row r="478" spans="1:7" ht="15.75">
      <c r="A478" s="13" t="s">
        <v>517</v>
      </c>
      <c r="B478" s="14" t="s">
        <v>518</v>
      </c>
      <c r="C478" s="2" t="s">
        <v>519</v>
      </c>
      <c r="E478" s="4">
        <v>45792</v>
      </c>
      <c r="F478" s="57">
        <v>26148.78</v>
      </c>
      <c r="G478" t="s">
        <v>12</v>
      </c>
    </row>
    <row r="479" spans="1:7" ht="15.75">
      <c r="A479" s="13" t="s">
        <v>520</v>
      </c>
      <c r="B479" s="14" t="s">
        <v>521</v>
      </c>
      <c r="C479" s="18" t="s">
        <v>132</v>
      </c>
      <c r="E479" s="4">
        <v>45841</v>
      </c>
      <c r="F479" s="60">
        <v>946.66</v>
      </c>
      <c r="G479" t="s">
        <v>12</v>
      </c>
    </row>
    <row r="480" spans="1:7">
      <c r="A480" s="13" t="s">
        <v>522</v>
      </c>
      <c r="B480" s="14" t="s">
        <v>387</v>
      </c>
      <c r="C480" s="18" t="s">
        <v>16</v>
      </c>
      <c r="E480" s="4">
        <v>45824</v>
      </c>
      <c r="F480" s="52">
        <f>8636.77+196.57</f>
        <v>8833.34</v>
      </c>
      <c r="G480" t="s">
        <v>12</v>
      </c>
    </row>
    <row r="481" spans="1:8">
      <c r="A481" s="13" t="s">
        <v>522</v>
      </c>
      <c r="B481" s="14" t="s">
        <v>343</v>
      </c>
      <c r="C481" s="18" t="s">
        <v>16</v>
      </c>
      <c r="E481" s="4">
        <v>45824</v>
      </c>
      <c r="F481" s="52">
        <f>8703.43+196.57</f>
        <v>8900</v>
      </c>
      <c r="G481" t="s">
        <v>12</v>
      </c>
    </row>
    <row r="482" spans="1:8">
      <c r="A482" s="13" t="s">
        <v>522</v>
      </c>
      <c r="B482" s="14" t="s">
        <v>523</v>
      </c>
      <c r="C482" s="18" t="s">
        <v>16</v>
      </c>
      <c r="E482" s="4">
        <v>45824</v>
      </c>
      <c r="F482" s="52">
        <f>8703.43+196.57</f>
        <v>8900</v>
      </c>
      <c r="G482" t="s">
        <v>12</v>
      </c>
    </row>
    <row r="483" spans="1:8">
      <c r="A483" s="13" t="s">
        <v>522</v>
      </c>
      <c r="B483" s="14" t="s">
        <v>392</v>
      </c>
      <c r="C483" s="18" t="s">
        <v>16</v>
      </c>
      <c r="E483" s="4">
        <v>45824</v>
      </c>
      <c r="F483" s="52">
        <f>8303.43+196.57</f>
        <v>8500</v>
      </c>
      <c r="G483" t="s">
        <v>12</v>
      </c>
    </row>
    <row r="484" spans="1:8">
      <c r="A484" s="13" t="s">
        <v>522</v>
      </c>
      <c r="B484" s="14" t="s">
        <v>241</v>
      </c>
      <c r="C484" s="18" t="s">
        <v>16</v>
      </c>
      <c r="E484" s="4">
        <v>45824</v>
      </c>
      <c r="F484" s="52">
        <f>9853.43+196.57</f>
        <v>10050</v>
      </c>
      <c r="G484" t="s">
        <v>12</v>
      </c>
    </row>
    <row r="485" spans="1:8">
      <c r="A485" s="13" t="s">
        <v>522</v>
      </c>
      <c r="B485" s="14" t="s">
        <v>234</v>
      </c>
      <c r="C485" s="18" t="s">
        <v>16</v>
      </c>
      <c r="E485" s="4">
        <v>45824</v>
      </c>
      <c r="F485" s="52">
        <f>10136.77+196.57</f>
        <v>10333.34</v>
      </c>
      <c r="G485" t="s">
        <v>12</v>
      </c>
    </row>
    <row r="486" spans="1:8">
      <c r="A486" s="13" t="s">
        <v>522</v>
      </c>
      <c r="B486" s="14" t="s">
        <v>275</v>
      </c>
      <c r="C486" s="18" t="s">
        <v>16</v>
      </c>
      <c r="E486" s="4">
        <v>45824</v>
      </c>
      <c r="F486" s="52">
        <f>10670.1+196.57</f>
        <v>10866.67</v>
      </c>
      <c r="G486" t="s">
        <v>12</v>
      </c>
    </row>
    <row r="487" spans="1:8">
      <c r="A487" s="13" t="s">
        <v>522</v>
      </c>
      <c r="B487" s="14" t="s">
        <v>231</v>
      </c>
      <c r="C487" s="18" t="s">
        <v>16</v>
      </c>
      <c r="E487" s="4">
        <v>45824</v>
      </c>
      <c r="F487" s="52">
        <f>9936.77+196.57</f>
        <v>10133.34</v>
      </c>
      <c r="G487" t="s">
        <v>12</v>
      </c>
    </row>
    <row r="488" spans="1:8">
      <c r="A488" s="13" t="s">
        <v>524</v>
      </c>
      <c r="B488" s="14" t="s">
        <v>361</v>
      </c>
      <c r="C488" s="2" t="s">
        <v>40</v>
      </c>
      <c r="E488" s="4">
        <v>45901</v>
      </c>
      <c r="F488" s="55">
        <f>88785/12</f>
        <v>7398.75</v>
      </c>
      <c r="G488" t="s">
        <v>12</v>
      </c>
    </row>
    <row r="489" spans="1:8">
      <c r="A489" s="13" t="s">
        <v>524</v>
      </c>
      <c r="B489" s="14" t="s">
        <v>351</v>
      </c>
      <c r="C489" s="2" t="s">
        <v>40</v>
      </c>
      <c r="E489" s="4">
        <v>45901</v>
      </c>
      <c r="F489">
        <f>16610/12</f>
        <v>1384.1666666666667</v>
      </c>
      <c r="G489" t="s">
        <v>12</v>
      </c>
    </row>
    <row r="490" spans="1:8">
      <c r="A490" s="13" t="s">
        <v>524</v>
      </c>
      <c r="B490" s="14" t="s">
        <v>406</v>
      </c>
      <c r="C490" s="2" t="s">
        <v>40</v>
      </c>
      <c r="E490" s="4">
        <v>45901</v>
      </c>
      <c r="F490">
        <f>48110/12</f>
        <v>4009.1666666666665</v>
      </c>
      <c r="G490" t="s">
        <v>12</v>
      </c>
    </row>
    <row r="491" spans="1:8" ht="21.75">
      <c r="A491" s="13" t="s">
        <v>525</v>
      </c>
      <c r="B491" s="34" t="s">
        <v>413</v>
      </c>
      <c r="C491" s="2" t="s">
        <v>526</v>
      </c>
      <c r="E491" s="4">
        <v>45848</v>
      </c>
      <c r="F491" s="68">
        <v>693</v>
      </c>
      <c r="G491" t="s">
        <v>12</v>
      </c>
    </row>
    <row r="492" spans="1:8" ht="84.75">
      <c r="A492" s="13" t="s">
        <v>527</v>
      </c>
      <c r="B492" s="34" t="s">
        <v>413</v>
      </c>
      <c r="C492" s="2" t="s">
        <v>528</v>
      </c>
      <c r="E492" s="4">
        <v>45901</v>
      </c>
      <c r="F492" s="74">
        <v>550364.37999999954</v>
      </c>
      <c r="G492" t="s">
        <v>12</v>
      </c>
    </row>
    <row r="493" spans="1:8" ht="84.75">
      <c r="A493" s="13" t="s">
        <v>527</v>
      </c>
      <c r="B493" s="34" t="s">
        <v>413</v>
      </c>
      <c r="C493" s="2" t="s">
        <v>528</v>
      </c>
      <c r="E493" s="4">
        <v>45930</v>
      </c>
      <c r="F493" s="74">
        <v>550364.37999999954</v>
      </c>
      <c r="G493" t="s">
        <v>82</v>
      </c>
      <c r="H493" s="75"/>
    </row>
    <row r="494" spans="1:8">
      <c r="A494" s="13" t="s">
        <v>529</v>
      </c>
      <c r="B494" s="14" t="s">
        <v>19</v>
      </c>
      <c r="C494" s="2" t="s">
        <v>530</v>
      </c>
      <c r="E494" s="4">
        <v>45717</v>
      </c>
      <c r="F494" s="55">
        <v>45455.26</v>
      </c>
      <c r="G494" t="s">
        <v>17</v>
      </c>
    </row>
    <row r="495" spans="1:8" ht="21.75">
      <c r="A495" s="13" t="s">
        <v>529</v>
      </c>
      <c r="B495" s="14" t="s">
        <v>531</v>
      </c>
      <c r="C495" s="2" t="s">
        <v>530</v>
      </c>
      <c r="E495" s="4">
        <v>45717</v>
      </c>
      <c r="F495" s="55">
        <f>172975.49-F496</f>
        <v>162790.44999999998</v>
      </c>
      <c r="G495" t="s">
        <v>17</v>
      </c>
    </row>
    <row r="496" spans="1:8" ht="21.75">
      <c r="A496" s="13" t="s">
        <v>529</v>
      </c>
      <c r="B496" s="14" t="s">
        <v>531</v>
      </c>
      <c r="C496" s="2" t="s">
        <v>462</v>
      </c>
      <c r="E496" s="4">
        <v>45773</v>
      </c>
      <c r="F496">
        <v>10185.040000000001</v>
      </c>
      <c r="G496" t="s">
        <v>17</v>
      </c>
    </row>
    <row r="497" spans="1:7">
      <c r="A497" s="13" t="s">
        <v>532</v>
      </c>
      <c r="B497" s="14" t="s">
        <v>18</v>
      </c>
      <c r="C497" s="2" t="s">
        <v>530</v>
      </c>
      <c r="E497" s="4">
        <v>45717</v>
      </c>
      <c r="F497" s="55">
        <f>76474.88-F500</f>
        <v>66754.44</v>
      </c>
      <c r="G497" t="s">
        <v>17</v>
      </c>
    </row>
    <row r="498" spans="1:7">
      <c r="A498" s="13" t="s">
        <v>532</v>
      </c>
      <c r="B498" s="14" t="s">
        <v>46</v>
      </c>
      <c r="C498" s="2" t="s">
        <v>530</v>
      </c>
      <c r="E498" s="4">
        <v>45717</v>
      </c>
      <c r="F498" s="55">
        <f>56914.21-F499</f>
        <v>47375.88</v>
      </c>
      <c r="G498" t="s">
        <v>17</v>
      </c>
    </row>
    <row r="499" spans="1:7">
      <c r="A499" s="13" t="s">
        <v>532</v>
      </c>
      <c r="B499" s="14" t="s">
        <v>46</v>
      </c>
      <c r="C499" s="2" t="s">
        <v>462</v>
      </c>
      <c r="E499" s="4">
        <v>45986</v>
      </c>
      <c r="F499" s="52">
        <v>9538.33</v>
      </c>
      <c r="G499" t="s">
        <v>17</v>
      </c>
    </row>
    <row r="500" spans="1:7">
      <c r="A500" s="13" t="s">
        <v>532</v>
      </c>
      <c r="B500" s="14" t="s">
        <v>18</v>
      </c>
      <c r="C500" s="2" t="s">
        <v>462</v>
      </c>
      <c r="E500" s="4">
        <v>45986</v>
      </c>
      <c r="F500">
        <v>9720.44</v>
      </c>
      <c r="G500" t="s">
        <v>17</v>
      </c>
    </row>
    <row r="501" spans="1:7">
      <c r="A501" s="13" t="s">
        <v>533</v>
      </c>
      <c r="B501" s="14" t="s">
        <v>51</v>
      </c>
      <c r="C501" s="2" t="s">
        <v>530</v>
      </c>
      <c r="E501" s="4">
        <v>45717</v>
      </c>
      <c r="F501" s="55">
        <v>58427.63</v>
      </c>
      <c r="G501" t="s">
        <v>17</v>
      </c>
    </row>
    <row r="502" spans="1:7">
      <c r="A502" s="13" t="s">
        <v>533</v>
      </c>
      <c r="B502" s="14" t="s">
        <v>51</v>
      </c>
      <c r="C502" s="2" t="s">
        <v>534</v>
      </c>
      <c r="E502" s="4">
        <v>45759</v>
      </c>
      <c r="F502" s="55">
        <v>16367.24</v>
      </c>
      <c r="G502" t="s">
        <v>17</v>
      </c>
    </row>
    <row r="503" spans="1:7">
      <c r="A503" s="13" t="s">
        <v>535</v>
      </c>
      <c r="B503" s="14" t="s">
        <v>10</v>
      </c>
      <c r="C503" s="2" t="s">
        <v>530</v>
      </c>
      <c r="E503" s="4">
        <v>45691</v>
      </c>
      <c r="F503" s="76">
        <v>2075479.07</v>
      </c>
      <c r="G503" t="s">
        <v>17</v>
      </c>
    </row>
    <row r="504" spans="1:7" ht="14.25">
      <c r="A504" s="13" t="s">
        <v>536</v>
      </c>
      <c r="B504" s="14" t="s">
        <v>10</v>
      </c>
      <c r="C504" s="2" t="s">
        <v>390</v>
      </c>
      <c r="E504" s="4">
        <v>45658</v>
      </c>
      <c r="F504" s="49">
        <v>641689.61</v>
      </c>
      <c r="G504" t="s">
        <v>12</v>
      </c>
    </row>
    <row r="505" spans="1:7" ht="15.75">
      <c r="A505" s="13" t="s">
        <v>537</v>
      </c>
      <c r="B505" s="14" t="s">
        <v>18</v>
      </c>
      <c r="C505" s="2" t="s">
        <v>390</v>
      </c>
      <c r="E505" s="4">
        <v>45658</v>
      </c>
      <c r="F505" s="57">
        <v>43266.52</v>
      </c>
      <c r="G505" t="s">
        <v>12</v>
      </c>
    </row>
    <row r="506" spans="1:7" ht="15.75">
      <c r="A506" s="13" t="s">
        <v>537</v>
      </c>
      <c r="B506" s="14" t="s">
        <v>18</v>
      </c>
      <c r="C506" s="2" t="s">
        <v>390</v>
      </c>
      <c r="E506" s="4">
        <v>45759</v>
      </c>
      <c r="F506" s="57">
        <v>45636.31</v>
      </c>
      <c r="G506" t="s">
        <v>52</v>
      </c>
    </row>
    <row r="507" spans="1:7" ht="15.75">
      <c r="A507" s="13" t="s">
        <v>538</v>
      </c>
      <c r="B507" s="14" t="s">
        <v>20</v>
      </c>
      <c r="C507" s="2" t="s">
        <v>390</v>
      </c>
      <c r="E507" s="4">
        <v>45658</v>
      </c>
      <c r="F507" s="57">
        <v>34259.040000000001</v>
      </c>
      <c r="G507" t="s">
        <v>12</v>
      </c>
    </row>
    <row r="508" spans="1:7" ht="15.75">
      <c r="A508" s="13" t="s">
        <v>538</v>
      </c>
      <c r="B508" s="14" t="s">
        <v>20</v>
      </c>
      <c r="C508" s="2" t="s">
        <v>390</v>
      </c>
      <c r="E508" s="4">
        <v>45748</v>
      </c>
      <c r="F508" s="57">
        <v>36135.47</v>
      </c>
      <c r="G508" t="s">
        <v>52</v>
      </c>
    </row>
    <row r="509" spans="1:7" ht="15.75">
      <c r="A509" s="13" t="s">
        <v>539</v>
      </c>
      <c r="B509" s="14" t="s">
        <v>46</v>
      </c>
      <c r="C509" s="2" t="s">
        <v>390</v>
      </c>
      <c r="E509" s="4">
        <v>45658</v>
      </c>
      <c r="F509" s="57">
        <v>12472.02</v>
      </c>
      <c r="G509" t="s">
        <v>12</v>
      </c>
    </row>
    <row r="510" spans="1:7" ht="15.75">
      <c r="A510" s="13" t="s">
        <v>539</v>
      </c>
      <c r="B510" s="14" t="s">
        <v>46</v>
      </c>
      <c r="C510" s="2" t="s">
        <v>390</v>
      </c>
      <c r="E510" s="4">
        <v>45782</v>
      </c>
      <c r="F510" s="57">
        <v>13161.69</v>
      </c>
      <c r="G510" t="s">
        <v>52</v>
      </c>
    </row>
    <row r="511" spans="1:7" ht="15.75">
      <c r="A511" s="13" t="s">
        <v>540</v>
      </c>
      <c r="B511" s="14" t="s">
        <v>51</v>
      </c>
      <c r="C511" s="2" t="s">
        <v>390</v>
      </c>
      <c r="E511" s="4">
        <v>45658</v>
      </c>
      <c r="F511" s="57">
        <v>28380.639999999999</v>
      </c>
      <c r="G511" t="s">
        <v>12</v>
      </c>
    </row>
    <row r="512" spans="1:7" ht="15.75">
      <c r="A512" s="13" t="s">
        <v>540</v>
      </c>
      <c r="B512" s="14" t="s">
        <v>51</v>
      </c>
      <c r="C512" s="2" t="s">
        <v>390</v>
      </c>
      <c r="E512" s="4">
        <v>45836</v>
      </c>
      <c r="F512" s="57">
        <v>29890.39</v>
      </c>
      <c r="G512" t="s">
        <v>52</v>
      </c>
    </row>
    <row r="513" spans="1:7">
      <c r="A513" s="14" t="s">
        <v>541</v>
      </c>
      <c r="B513" s="25" t="s">
        <v>60</v>
      </c>
      <c r="C513" s="22" t="s">
        <v>530</v>
      </c>
      <c r="E513" s="4">
        <v>45778</v>
      </c>
      <c r="F513" s="55">
        <f>78335.15-F517</f>
        <v>69529.73</v>
      </c>
      <c r="G513" t="s">
        <v>12</v>
      </c>
    </row>
    <row r="514" spans="1:7">
      <c r="A514" s="14" t="s">
        <v>541</v>
      </c>
      <c r="B514" s="25" t="s">
        <v>67</v>
      </c>
      <c r="C514" s="22" t="s">
        <v>530</v>
      </c>
      <c r="E514" s="4">
        <v>45778</v>
      </c>
      <c r="F514">
        <f>124975.89-F516</f>
        <v>107966.31</v>
      </c>
      <c r="G514" t="s">
        <v>12</v>
      </c>
    </row>
    <row r="515" spans="1:7">
      <c r="A515" s="14" t="s">
        <v>541</v>
      </c>
      <c r="B515" s="25" t="s">
        <v>107</v>
      </c>
      <c r="C515" s="22" t="s">
        <v>530</v>
      </c>
      <c r="E515" s="4">
        <v>45778</v>
      </c>
      <c r="F515">
        <f>64302.28-F518</f>
        <v>55161.159999999996</v>
      </c>
      <c r="G515" t="s">
        <v>12</v>
      </c>
    </row>
    <row r="516" spans="1:7">
      <c r="A516" s="14" t="s">
        <v>541</v>
      </c>
      <c r="B516" s="25" t="s">
        <v>67</v>
      </c>
      <c r="C516" s="2" t="s">
        <v>462</v>
      </c>
      <c r="E516" s="4">
        <v>45858</v>
      </c>
      <c r="F516">
        <f>8134.44+8875.14</f>
        <v>17009.579999999998</v>
      </c>
      <c r="G516" t="s">
        <v>12</v>
      </c>
    </row>
    <row r="517" spans="1:7">
      <c r="A517" s="14" t="s">
        <v>541</v>
      </c>
      <c r="B517" s="25" t="s">
        <v>60</v>
      </c>
      <c r="C517" s="2" t="s">
        <v>462</v>
      </c>
      <c r="E517" s="4">
        <v>45858</v>
      </c>
      <c r="F517" s="52">
        <v>8805.42</v>
      </c>
      <c r="G517" t="s">
        <v>12</v>
      </c>
    </row>
    <row r="518" spans="1:7">
      <c r="A518" s="14" t="s">
        <v>541</v>
      </c>
      <c r="B518" s="25" t="s">
        <v>107</v>
      </c>
      <c r="C518" s="2" t="s">
        <v>542</v>
      </c>
      <c r="E518" s="4">
        <v>45858</v>
      </c>
      <c r="F518" s="77">
        <v>9141.1200000000008</v>
      </c>
      <c r="G518" t="s">
        <v>12</v>
      </c>
    </row>
    <row r="519" spans="1:7">
      <c r="A519" s="14" t="s">
        <v>541</v>
      </c>
      <c r="B519" s="25" t="s">
        <v>60</v>
      </c>
      <c r="C519" s="22" t="s">
        <v>530</v>
      </c>
      <c r="D519" s="4">
        <v>45806</v>
      </c>
      <c r="G519" t="s">
        <v>74</v>
      </c>
    </row>
    <row r="520" spans="1:7">
      <c r="A520" s="14" t="s">
        <v>541</v>
      </c>
      <c r="B520" s="25" t="s">
        <v>67</v>
      </c>
      <c r="C520" s="22" t="s">
        <v>530</v>
      </c>
      <c r="D520" s="4">
        <v>45806</v>
      </c>
      <c r="G520" t="s">
        <v>74</v>
      </c>
    </row>
    <row r="521" spans="1:7">
      <c r="A521" s="14" t="s">
        <v>541</v>
      </c>
      <c r="B521" s="25" t="s">
        <v>107</v>
      </c>
      <c r="C521" s="22" t="s">
        <v>530</v>
      </c>
      <c r="D521" s="4">
        <v>45806</v>
      </c>
      <c r="G521" t="s">
        <v>74</v>
      </c>
    </row>
    <row r="522" spans="1:7">
      <c r="A522" s="14" t="s">
        <v>541</v>
      </c>
      <c r="B522" s="25" t="s">
        <v>67</v>
      </c>
      <c r="C522" s="2" t="s">
        <v>462</v>
      </c>
      <c r="D522" s="4">
        <v>45806</v>
      </c>
      <c r="G522" t="s">
        <v>74</v>
      </c>
    </row>
    <row r="523" spans="1:7">
      <c r="A523" s="14" t="s">
        <v>541</v>
      </c>
      <c r="B523" s="25" t="s">
        <v>60</v>
      </c>
      <c r="C523" s="2" t="s">
        <v>462</v>
      </c>
      <c r="D523" s="4">
        <v>45806</v>
      </c>
      <c r="G523" t="s">
        <v>74</v>
      </c>
    </row>
    <row r="524" spans="1:7">
      <c r="A524" s="14" t="s">
        <v>541</v>
      </c>
      <c r="B524" s="25" t="s">
        <v>107</v>
      </c>
      <c r="C524" s="2" t="s">
        <v>542</v>
      </c>
      <c r="D524" s="4">
        <v>45806</v>
      </c>
      <c r="G524" t="s">
        <v>74</v>
      </c>
    </row>
    <row r="525" spans="1:7" ht="15.75">
      <c r="A525" s="13" t="s">
        <v>543</v>
      </c>
      <c r="B525" s="14" t="s">
        <v>60</v>
      </c>
      <c r="C525" s="18" t="s">
        <v>390</v>
      </c>
      <c r="E525" s="4">
        <v>45225</v>
      </c>
      <c r="F525" s="56">
        <v>8586.43</v>
      </c>
      <c r="G525" t="s">
        <v>544</v>
      </c>
    </row>
    <row r="526" spans="1:7" ht="15.75">
      <c r="A526" s="13" t="s">
        <v>543</v>
      </c>
      <c r="B526" s="14" t="s">
        <v>60</v>
      </c>
      <c r="C526" s="18" t="s">
        <v>390</v>
      </c>
      <c r="E526" s="4">
        <v>45956</v>
      </c>
      <c r="F526" s="56">
        <v>10000</v>
      </c>
      <c r="G526" t="s">
        <v>545</v>
      </c>
    </row>
    <row r="527" spans="1:7">
      <c r="A527" s="14" t="s">
        <v>546</v>
      </c>
      <c r="B527" s="25" t="s">
        <v>62</v>
      </c>
      <c r="C527" s="29" t="s">
        <v>530</v>
      </c>
      <c r="E527" s="4">
        <v>45717</v>
      </c>
      <c r="F527" s="55">
        <f>89547.85-F528</f>
        <v>80920.19</v>
      </c>
      <c r="G527" t="s">
        <v>17</v>
      </c>
    </row>
    <row r="528" spans="1:7">
      <c r="A528" s="14" t="s">
        <v>546</v>
      </c>
      <c r="B528" s="25" t="s">
        <v>62</v>
      </c>
      <c r="C528" s="29" t="s">
        <v>462</v>
      </c>
      <c r="E528" s="4">
        <v>45885</v>
      </c>
      <c r="F528" s="52">
        <v>8627.66</v>
      </c>
      <c r="G528" t="s">
        <v>17</v>
      </c>
    </row>
    <row r="529" spans="1:7" ht="15.75">
      <c r="A529" s="13" t="s">
        <v>547</v>
      </c>
      <c r="B529" s="14" t="s">
        <v>62</v>
      </c>
      <c r="C529" s="18" t="s">
        <v>390</v>
      </c>
      <c r="E529" s="4">
        <v>45493</v>
      </c>
      <c r="F529" s="57">
        <v>27285.95</v>
      </c>
      <c r="G529" t="s">
        <v>325</v>
      </c>
    </row>
    <row r="530" spans="1:7">
      <c r="A530" s="14" t="s">
        <v>548</v>
      </c>
      <c r="B530" s="14" t="s">
        <v>80</v>
      </c>
      <c r="C530" s="29" t="s">
        <v>530</v>
      </c>
      <c r="E530" s="4">
        <v>45717</v>
      </c>
      <c r="F530">
        <f>72685.34-F531</f>
        <v>48717.729999999996</v>
      </c>
      <c r="G530" t="s">
        <v>17</v>
      </c>
    </row>
    <row r="531" spans="1:7">
      <c r="A531" s="14" t="s">
        <v>548</v>
      </c>
      <c r="B531" s="14" t="s">
        <v>80</v>
      </c>
      <c r="C531" s="29" t="s">
        <v>309</v>
      </c>
      <c r="E531" s="4">
        <v>45784</v>
      </c>
      <c r="F531">
        <f>7520.53+16447.08</f>
        <v>23967.61</v>
      </c>
      <c r="G531" t="s">
        <v>17</v>
      </c>
    </row>
    <row r="532" spans="1:7">
      <c r="A532" s="13" t="s">
        <v>549</v>
      </c>
      <c r="B532" s="14" t="s">
        <v>80</v>
      </c>
      <c r="C532" s="2" t="s">
        <v>390</v>
      </c>
      <c r="E532" s="4">
        <v>45658</v>
      </c>
      <c r="F532">
        <v>28800</v>
      </c>
      <c r="G532" t="s">
        <v>12</v>
      </c>
    </row>
    <row r="533" spans="1:7">
      <c r="A533" s="14" t="s">
        <v>550</v>
      </c>
      <c r="B533" s="14" t="s">
        <v>59</v>
      </c>
      <c r="C533" s="29" t="s">
        <v>530</v>
      </c>
      <c r="E533" s="4">
        <v>45717</v>
      </c>
      <c r="F533" s="78">
        <f>67519.03-F534</f>
        <v>58472.27</v>
      </c>
      <c r="G533" t="s">
        <v>17</v>
      </c>
    </row>
    <row r="534" spans="1:7">
      <c r="A534" s="14" t="s">
        <v>550</v>
      </c>
      <c r="B534" s="14" t="s">
        <v>59</v>
      </c>
      <c r="C534" s="29" t="s">
        <v>462</v>
      </c>
      <c r="E534" s="4">
        <v>45885</v>
      </c>
      <c r="F534" s="52">
        <v>9046.76</v>
      </c>
      <c r="G534" t="s">
        <v>17</v>
      </c>
    </row>
    <row r="535" spans="1:7" ht="15.75">
      <c r="A535" s="13" t="s">
        <v>551</v>
      </c>
      <c r="B535" s="14" t="s">
        <v>59</v>
      </c>
      <c r="C535" s="2" t="s">
        <v>390</v>
      </c>
      <c r="E535" s="4">
        <v>45658</v>
      </c>
      <c r="F535" s="57">
        <v>56340.39</v>
      </c>
      <c r="G535" t="s">
        <v>12</v>
      </c>
    </row>
    <row r="536" spans="1:7" ht="15.75">
      <c r="A536" s="13" t="s">
        <v>551</v>
      </c>
      <c r="B536" s="14" t="s">
        <v>59</v>
      </c>
      <c r="C536" s="2" t="s">
        <v>390</v>
      </c>
      <c r="E536" s="4">
        <v>45856</v>
      </c>
      <c r="F536" s="57">
        <v>59355.26</v>
      </c>
      <c r="G536" t="s">
        <v>52</v>
      </c>
    </row>
    <row r="537" spans="1:7">
      <c r="A537" s="14" t="s">
        <v>552</v>
      </c>
      <c r="B537" s="14" t="s">
        <v>94</v>
      </c>
      <c r="C537" s="29" t="s">
        <v>530</v>
      </c>
      <c r="E537" s="4">
        <v>45717</v>
      </c>
      <c r="F537">
        <f>88925.25-F538</f>
        <v>79056.59</v>
      </c>
      <c r="G537" t="s">
        <v>17</v>
      </c>
    </row>
    <row r="538" spans="1:7">
      <c r="A538" s="14" t="s">
        <v>552</v>
      </c>
      <c r="B538" s="14" t="s">
        <v>94</v>
      </c>
      <c r="C538" s="29" t="s">
        <v>462</v>
      </c>
      <c r="E538" s="4">
        <v>45714</v>
      </c>
      <c r="F538" s="52">
        <v>9868.66</v>
      </c>
      <c r="G538" t="s">
        <v>17</v>
      </c>
    </row>
    <row r="539" spans="1:7" ht="15.75">
      <c r="A539" s="13" t="s">
        <v>553</v>
      </c>
      <c r="B539" s="14" t="s">
        <v>94</v>
      </c>
      <c r="C539" s="2" t="s">
        <v>390</v>
      </c>
      <c r="E539" s="4">
        <v>45658</v>
      </c>
      <c r="F539" s="57">
        <v>27443.29</v>
      </c>
      <c r="G539" t="s">
        <v>12</v>
      </c>
    </row>
    <row r="540" spans="1:7" ht="15.75">
      <c r="A540" s="13" t="s">
        <v>553</v>
      </c>
      <c r="B540" s="14" t="s">
        <v>94</v>
      </c>
      <c r="C540" s="2" t="s">
        <v>390</v>
      </c>
      <c r="E540" s="4">
        <v>45917</v>
      </c>
      <c r="F540" s="56">
        <v>26104.02</v>
      </c>
      <c r="G540" t="s">
        <v>52</v>
      </c>
    </row>
    <row r="541" spans="1:7">
      <c r="A541" s="13" t="s">
        <v>554</v>
      </c>
      <c r="B541" s="14" t="s">
        <v>61</v>
      </c>
      <c r="C541" s="22" t="s">
        <v>530</v>
      </c>
      <c r="E541" s="4">
        <v>45708</v>
      </c>
      <c r="F541" s="55">
        <v>71704.039999999994</v>
      </c>
      <c r="G541" t="s">
        <v>17</v>
      </c>
    </row>
    <row r="542" spans="1:7">
      <c r="A542" s="13" t="s">
        <v>554</v>
      </c>
      <c r="B542" s="14" t="s">
        <v>61</v>
      </c>
      <c r="C542" s="22" t="s">
        <v>530</v>
      </c>
      <c r="E542" s="4">
        <v>45870</v>
      </c>
      <c r="F542" s="55">
        <v>71704.039999999994</v>
      </c>
      <c r="G542" t="s">
        <v>82</v>
      </c>
    </row>
    <row r="543" spans="1:7">
      <c r="A543" s="13" t="s">
        <v>555</v>
      </c>
      <c r="B543" s="14" t="s">
        <v>483</v>
      </c>
      <c r="C543" s="2" t="s">
        <v>530</v>
      </c>
      <c r="E543" s="4">
        <v>45932</v>
      </c>
      <c r="F543" s="55">
        <v>71925.960000000006</v>
      </c>
      <c r="G543" t="s">
        <v>17</v>
      </c>
    </row>
    <row r="544" spans="1:7" ht="15.75">
      <c r="A544" s="13" t="s">
        <v>556</v>
      </c>
      <c r="B544" s="14" t="s">
        <v>61</v>
      </c>
      <c r="C544" s="2" t="s">
        <v>390</v>
      </c>
      <c r="E544" s="4">
        <v>45655</v>
      </c>
      <c r="F544" s="57">
        <v>30906.83</v>
      </c>
      <c r="G544" t="s">
        <v>325</v>
      </c>
    </row>
    <row r="545" spans="1:7">
      <c r="A545" s="14" t="s">
        <v>557</v>
      </c>
      <c r="B545" s="25" t="s">
        <v>58</v>
      </c>
      <c r="C545" s="29" t="s">
        <v>530</v>
      </c>
      <c r="E545" s="4">
        <v>45717</v>
      </c>
      <c r="F545" s="55">
        <f>66293.19-F546</f>
        <v>58092.25</v>
      </c>
      <c r="G545" t="s">
        <v>17</v>
      </c>
    </row>
    <row r="546" spans="1:7">
      <c r="A546" s="14" t="s">
        <v>557</v>
      </c>
      <c r="B546" s="25" t="s">
        <v>58</v>
      </c>
      <c r="C546" s="29" t="s">
        <v>542</v>
      </c>
      <c r="E546" s="4">
        <v>45773</v>
      </c>
      <c r="F546" s="52">
        <v>8200.94</v>
      </c>
      <c r="G546" t="s">
        <v>17</v>
      </c>
    </row>
    <row r="547" spans="1:7" ht="15.75">
      <c r="A547" s="13" t="s">
        <v>558</v>
      </c>
      <c r="B547" s="14" t="s">
        <v>58</v>
      </c>
      <c r="C547" s="2" t="s">
        <v>390</v>
      </c>
      <c r="E547" s="4">
        <v>45658</v>
      </c>
      <c r="F547" s="54">
        <v>29342.720000000001</v>
      </c>
      <c r="G547" t="s">
        <v>12</v>
      </c>
    </row>
    <row r="548" spans="1:7" ht="15.75">
      <c r="A548" s="13" t="s">
        <v>559</v>
      </c>
      <c r="B548" s="14" t="s">
        <v>107</v>
      </c>
      <c r="C548" s="2" t="s">
        <v>390</v>
      </c>
      <c r="E548" s="4">
        <v>45658</v>
      </c>
      <c r="F548" s="56">
        <v>22592.25</v>
      </c>
      <c r="G548" t="s">
        <v>12</v>
      </c>
    </row>
    <row r="549" spans="1:7">
      <c r="A549" s="22" t="s">
        <v>560</v>
      </c>
      <c r="B549" s="22" t="s">
        <v>112</v>
      </c>
      <c r="C549" s="19" t="s">
        <v>530</v>
      </c>
      <c r="E549" s="4">
        <v>45717</v>
      </c>
      <c r="F549" s="55">
        <v>56341.78</v>
      </c>
      <c r="G549" t="s">
        <v>17</v>
      </c>
    </row>
    <row r="550" spans="1:7">
      <c r="A550" s="22" t="s">
        <v>560</v>
      </c>
      <c r="B550" s="22" t="s">
        <v>113</v>
      </c>
      <c r="C550" s="19" t="s">
        <v>530</v>
      </c>
      <c r="E550" s="4">
        <v>45717</v>
      </c>
      <c r="F550">
        <f>122691.45-F552</f>
        <v>96284.31</v>
      </c>
      <c r="G550" t="s">
        <v>17</v>
      </c>
    </row>
    <row r="551" spans="1:7">
      <c r="A551" s="22" t="s">
        <v>560</v>
      </c>
      <c r="B551" s="22" t="s">
        <v>114</v>
      </c>
      <c r="C551" s="19" t="s">
        <v>530</v>
      </c>
      <c r="E551" s="4">
        <v>45717</v>
      </c>
      <c r="F551">
        <f>58097.61-F553</f>
        <v>48575.01</v>
      </c>
      <c r="G551" t="s">
        <v>17</v>
      </c>
    </row>
    <row r="552" spans="1:7">
      <c r="A552" s="22" t="s">
        <v>560</v>
      </c>
      <c r="B552" s="22" t="s">
        <v>113</v>
      </c>
      <c r="C552" s="19" t="s">
        <v>309</v>
      </c>
      <c r="E552" s="4">
        <v>45763</v>
      </c>
      <c r="F552">
        <f>8264.3+8633.24+9509.6</f>
        <v>26407.14</v>
      </c>
      <c r="G552" t="s">
        <v>17</v>
      </c>
    </row>
    <row r="553" spans="1:7">
      <c r="A553" s="22" t="s">
        <v>560</v>
      </c>
      <c r="B553" s="22" t="s">
        <v>114</v>
      </c>
      <c r="C553" s="19" t="s">
        <v>561</v>
      </c>
      <c r="E553" s="4">
        <v>45763</v>
      </c>
      <c r="F553" s="52">
        <v>9522.6</v>
      </c>
      <c r="G553" t="s">
        <v>17</v>
      </c>
    </row>
    <row r="554" spans="1:7">
      <c r="A554" s="14" t="s">
        <v>562</v>
      </c>
      <c r="B554" s="14" t="s">
        <v>167</v>
      </c>
      <c r="C554" s="2" t="s">
        <v>530</v>
      </c>
      <c r="E554" s="4">
        <v>45717</v>
      </c>
      <c r="F554" s="79">
        <f>76566.05-F556</f>
        <v>63158.44</v>
      </c>
      <c r="G554" t="s">
        <v>17</v>
      </c>
    </row>
    <row r="555" spans="1:7">
      <c r="A555" s="14" t="s">
        <v>562</v>
      </c>
      <c r="B555" s="14" t="s">
        <v>119</v>
      </c>
      <c r="C555" s="2" t="s">
        <v>530</v>
      </c>
      <c r="E555" s="4">
        <v>45717</v>
      </c>
      <c r="F555" s="79">
        <f>92061.77-F557</f>
        <v>73157.760000000009</v>
      </c>
      <c r="G555" t="s">
        <v>17</v>
      </c>
    </row>
    <row r="556" spans="1:7">
      <c r="A556" s="14" t="s">
        <v>562</v>
      </c>
      <c r="B556" s="14" t="s">
        <v>167</v>
      </c>
      <c r="C556" s="2" t="s">
        <v>309</v>
      </c>
      <c r="E556" s="4">
        <v>45742</v>
      </c>
      <c r="F556">
        <f>4028.78+9378.83</f>
        <v>13407.61</v>
      </c>
      <c r="G556" t="s">
        <v>17</v>
      </c>
    </row>
    <row r="557" spans="1:7">
      <c r="A557" s="14" t="s">
        <v>562</v>
      </c>
      <c r="B557" s="14" t="s">
        <v>119</v>
      </c>
      <c r="C557" s="2" t="s">
        <v>561</v>
      </c>
      <c r="E557" s="4">
        <v>45742</v>
      </c>
      <c r="F557" s="66">
        <v>18904.009999999998</v>
      </c>
      <c r="G557" t="s">
        <v>17</v>
      </c>
    </row>
    <row r="558" spans="1:7">
      <c r="A558" s="14" t="s">
        <v>563</v>
      </c>
      <c r="B558" s="14" t="s">
        <v>149</v>
      </c>
      <c r="C558" s="2" t="s">
        <v>530</v>
      </c>
      <c r="E558" s="4">
        <v>45717</v>
      </c>
      <c r="F558" s="55">
        <f>130946.73-F560</f>
        <v>114322.95999999999</v>
      </c>
      <c r="G558" t="s">
        <v>12</v>
      </c>
    </row>
    <row r="559" spans="1:7">
      <c r="A559" s="14" t="s">
        <v>563</v>
      </c>
      <c r="B559" s="14" t="s">
        <v>204</v>
      </c>
      <c r="C559" s="2" t="s">
        <v>530</v>
      </c>
      <c r="E559" s="4">
        <v>45717</v>
      </c>
      <c r="F559" s="55">
        <f>50650.81-F561</f>
        <v>41975.06</v>
      </c>
      <c r="G559" t="s">
        <v>12</v>
      </c>
    </row>
    <row r="560" spans="1:7">
      <c r="A560" s="14" t="s">
        <v>563</v>
      </c>
      <c r="B560" s="14" t="s">
        <v>149</v>
      </c>
      <c r="C560" s="2" t="s">
        <v>309</v>
      </c>
      <c r="E560" s="4">
        <v>45751</v>
      </c>
      <c r="F560">
        <f>7948+8675.77</f>
        <v>16623.77</v>
      </c>
      <c r="G560" t="s">
        <v>12</v>
      </c>
    </row>
    <row r="561" spans="1:7">
      <c r="A561" s="14" t="s">
        <v>563</v>
      </c>
      <c r="B561" s="14" t="s">
        <v>204</v>
      </c>
      <c r="C561" s="2" t="s">
        <v>561</v>
      </c>
      <c r="E561" s="4">
        <v>45751</v>
      </c>
      <c r="F561" s="66">
        <v>8675.75</v>
      </c>
      <c r="G561" t="s">
        <v>12</v>
      </c>
    </row>
    <row r="562" spans="1:7">
      <c r="A562" s="14" t="s">
        <v>564</v>
      </c>
      <c r="B562" s="14" t="s">
        <v>141</v>
      </c>
      <c r="C562" s="19" t="s">
        <v>530</v>
      </c>
      <c r="E562" s="4">
        <v>45717</v>
      </c>
      <c r="F562" s="55">
        <f>46779.84-F565</f>
        <v>39128.259999999995</v>
      </c>
      <c r="G562" t="s">
        <v>12</v>
      </c>
    </row>
    <row r="563" spans="1:7">
      <c r="A563" s="14" t="s">
        <v>564</v>
      </c>
      <c r="B563" s="14" t="s">
        <v>185</v>
      </c>
      <c r="C563" s="19" t="s">
        <v>530</v>
      </c>
      <c r="E563" s="4">
        <v>45717</v>
      </c>
      <c r="F563" s="55">
        <v>61691.8</v>
      </c>
      <c r="G563" t="s">
        <v>12</v>
      </c>
    </row>
    <row r="564" spans="1:7">
      <c r="A564" s="14" t="s">
        <v>564</v>
      </c>
      <c r="B564" s="14" t="s">
        <v>180</v>
      </c>
      <c r="C564" s="19" t="s">
        <v>530</v>
      </c>
      <c r="E564" s="4">
        <v>45717</v>
      </c>
      <c r="F564">
        <f>46299.75-F566</f>
        <v>30566.42</v>
      </c>
      <c r="G564" t="s">
        <v>12</v>
      </c>
    </row>
    <row r="565" spans="1:7">
      <c r="A565" s="14" t="s">
        <v>564</v>
      </c>
      <c r="B565" s="14" t="s">
        <v>141</v>
      </c>
      <c r="C565" s="19" t="s">
        <v>561</v>
      </c>
      <c r="E565" s="4">
        <v>45762</v>
      </c>
      <c r="F565" s="52">
        <v>7651.58</v>
      </c>
      <c r="G565" t="s">
        <v>12</v>
      </c>
    </row>
    <row r="566" spans="1:7">
      <c r="A566" s="14" t="s">
        <v>564</v>
      </c>
      <c r="B566" s="14" t="s">
        <v>180</v>
      </c>
      <c r="C566" s="19" t="s">
        <v>561</v>
      </c>
      <c r="E566" s="4">
        <v>45762</v>
      </c>
      <c r="F566">
        <f>7983.33+7750</f>
        <v>15733.33</v>
      </c>
      <c r="G566" t="s">
        <v>12</v>
      </c>
    </row>
    <row r="567" spans="1:7">
      <c r="A567" s="14" t="s">
        <v>565</v>
      </c>
      <c r="B567" s="14" t="s">
        <v>138</v>
      </c>
      <c r="C567" s="2" t="s">
        <v>530</v>
      </c>
      <c r="E567" s="4">
        <v>45722</v>
      </c>
      <c r="F567">
        <f>58584.45-F569</f>
        <v>50394.13</v>
      </c>
      <c r="G567" t="s">
        <v>17</v>
      </c>
    </row>
    <row r="568" spans="1:7">
      <c r="A568" s="14" t="s">
        <v>565</v>
      </c>
      <c r="B568" s="14" t="s">
        <v>156</v>
      </c>
      <c r="C568" s="2" t="s">
        <v>530</v>
      </c>
      <c r="E568" s="4">
        <v>45722</v>
      </c>
      <c r="F568" s="78">
        <f>62818.12-F570</f>
        <v>54560.880000000005</v>
      </c>
      <c r="G568" t="s">
        <v>17</v>
      </c>
    </row>
    <row r="569" spans="1:7">
      <c r="A569" s="14" t="s">
        <v>565</v>
      </c>
      <c r="B569" s="14" t="s">
        <v>138</v>
      </c>
      <c r="C569" s="19" t="s">
        <v>561</v>
      </c>
      <c r="E569" s="4">
        <v>45748</v>
      </c>
      <c r="F569" s="66">
        <v>8190.32</v>
      </c>
      <c r="G569" t="s">
        <v>17</v>
      </c>
    </row>
    <row r="570" spans="1:7">
      <c r="A570" s="14" t="s">
        <v>565</v>
      </c>
      <c r="B570" s="14" t="s">
        <v>156</v>
      </c>
      <c r="C570" s="19" t="s">
        <v>561</v>
      </c>
      <c r="E570" s="4">
        <v>45748</v>
      </c>
      <c r="F570" s="66">
        <v>8257.24</v>
      </c>
      <c r="G570" t="s">
        <v>17</v>
      </c>
    </row>
    <row r="571" spans="1:7">
      <c r="A571" s="14" t="s">
        <v>565</v>
      </c>
      <c r="B571" s="14" t="s">
        <v>138</v>
      </c>
      <c r="C571" s="2" t="s">
        <v>530</v>
      </c>
      <c r="E571" s="4">
        <v>45931</v>
      </c>
      <c r="F571">
        <f>58584.45-F573</f>
        <v>50394.13</v>
      </c>
      <c r="G571" t="s">
        <v>82</v>
      </c>
    </row>
    <row r="572" spans="1:7">
      <c r="A572" s="14" t="s">
        <v>565</v>
      </c>
      <c r="B572" s="14" t="s">
        <v>156</v>
      </c>
      <c r="C572" s="2" t="s">
        <v>530</v>
      </c>
      <c r="E572" s="4">
        <v>45931</v>
      </c>
      <c r="F572" s="78">
        <f>62818.12-F574</f>
        <v>54560.880000000005</v>
      </c>
      <c r="G572" t="s">
        <v>82</v>
      </c>
    </row>
    <row r="573" spans="1:7">
      <c r="A573" s="14" t="s">
        <v>565</v>
      </c>
      <c r="B573" s="14" t="s">
        <v>138</v>
      </c>
      <c r="C573" s="19" t="s">
        <v>561</v>
      </c>
      <c r="E573" s="4">
        <v>45931</v>
      </c>
      <c r="F573" s="66">
        <v>8190.32</v>
      </c>
      <c r="G573" t="s">
        <v>82</v>
      </c>
    </row>
    <row r="574" spans="1:7">
      <c r="A574" s="14" t="s">
        <v>565</v>
      </c>
      <c r="B574" s="14" t="s">
        <v>156</v>
      </c>
      <c r="C574" s="19" t="s">
        <v>561</v>
      </c>
      <c r="E574" s="4">
        <v>45931</v>
      </c>
      <c r="F574" s="66">
        <v>8257.24</v>
      </c>
      <c r="G574" t="s">
        <v>82</v>
      </c>
    </row>
    <row r="575" spans="1:7">
      <c r="A575" s="14" t="s">
        <v>566</v>
      </c>
      <c r="B575" s="14" t="s">
        <v>138</v>
      </c>
      <c r="C575" s="2" t="s">
        <v>530</v>
      </c>
      <c r="E575" s="4">
        <v>45932</v>
      </c>
      <c r="F575" s="78">
        <f>53445.79-F576</f>
        <v>45778.7</v>
      </c>
      <c r="G575" t="s">
        <v>12</v>
      </c>
    </row>
    <row r="576" spans="1:7">
      <c r="A576" s="14" t="s">
        <v>566</v>
      </c>
      <c r="B576" s="14" t="s">
        <v>138</v>
      </c>
      <c r="C576" s="2" t="s">
        <v>567</v>
      </c>
      <c r="E576" s="4">
        <v>45932</v>
      </c>
      <c r="F576" s="52">
        <v>7667.09</v>
      </c>
      <c r="G576" t="s">
        <v>12</v>
      </c>
    </row>
    <row r="577" spans="1:7">
      <c r="A577" s="14" t="s">
        <v>566</v>
      </c>
      <c r="B577" s="14" t="s">
        <v>156</v>
      </c>
      <c r="C577" s="2" t="s">
        <v>530</v>
      </c>
      <c r="E577" s="4">
        <v>45932</v>
      </c>
      <c r="F577" s="78">
        <f>71695.89-F578</f>
        <v>63849.599999999999</v>
      </c>
      <c r="G577" t="s">
        <v>12</v>
      </c>
    </row>
    <row r="578" spans="1:7">
      <c r="A578" s="14" t="s">
        <v>566</v>
      </c>
      <c r="B578" s="14" t="s">
        <v>156</v>
      </c>
      <c r="C578" s="2" t="s">
        <v>567</v>
      </c>
      <c r="E578" s="4">
        <v>45932</v>
      </c>
      <c r="F578" s="52">
        <v>7846.29</v>
      </c>
      <c r="G578" t="s">
        <v>12</v>
      </c>
    </row>
    <row r="579" spans="1:7">
      <c r="A579" s="14" t="s">
        <v>566</v>
      </c>
      <c r="B579" s="14" t="s">
        <v>138</v>
      </c>
      <c r="C579" s="2" t="s">
        <v>530</v>
      </c>
      <c r="D579" s="4">
        <v>45932</v>
      </c>
      <c r="G579" t="s">
        <v>388</v>
      </c>
    </row>
    <row r="580" spans="1:7">
      <c r="A580" s="14" t="s">
        <v>566</v>
      </c>
      <c r="B580" s="14" t="s">
        <v>138</v>
      </c>
      <c r="C580" s="2" t="s">
        <v>567</v>
      </c>
      <c r="D580" s="4">
        <v>45932</v>
      </c>
      <c r="G580" t="s">
        <v>388</v>
      </c>
    </row>
    <row r="581" spans="1:7">
      <c r="A581" s="14" t="s">
        <v>566</v>
      </c>
      <c r="B581" s="14" t="s">
        <v>156</v>
      </c>
      <c r="C581" s="2" t="s">
        <v>530</v>
      </c>
      <c r="D581" s="4">
        <v>45932</v>
      </c>
      <c r="G581" t="s">
        <v>388</v>
      </c>
    </row>
    <row r="582" spans="1:7">
      <c r="A582" s="14" t="s">
        <v>566</v>
      </c>
      <c r="B582" s="14" t="s">
        <v>156</v>
      </c>
      <c r="C582" s="2" t="s">
        <v>567</v>
      </c>
      <c r="D582" s="4">
        <v>45932</v>
      </c>
      <c r="G582" t="s">
        <v>388</v>
      </c>
    </row>
    <row r="583" spans="1:7">
      <c r="A583" s="25" t="s">
        <v>568</v>
      </c>
      <c r="B583" s="25" t="s">
        <v>122</v>
      </c>
      <c r="C583" s="24" t="s">
        <v>530</v>
      </c>
      <c r="E583" s="4">
        <v>45717</v>
      </c>
      <c r="F583" s="55">
        <f>87225.69-F584</f>
        <v>72474.930000000008</v>
      </c>
      <c r="G583" t="s">
        <v>17</v>
      </c>
    </row>
    <row r="584" spans="1:7">
      <c r="A584" s="25" t="s">
        <v>568</v>
      </c>
      <c r="B584" s="25" t="s">
        <v>122</v>
      </c>
      <c r="C584" s="19" t="s">
        <v>309</v>
      </c>
      <c r="E584" s="4">
        <v>45782</v>
      </c>
      <c r="F584" s="52">
        <f>7045.28+7705.48</f>
        <v>14750.759999999998</v>
      </c>
      <c r="G584" t="s">
        <v>17</v>
      </c>
    </row>
    <row r="585" spans="1:7" ht="15.75">
      <c r="A585" s="13" t="s">
        <v>569</v>
      </c>
      <c r="B585" s="14" t="s">
        <v>122</v>
      </c>
      <c r="C585" s="18" t="s">
        <v>390</v>
      </c>
      <c r="E585" s="4">
        <v>45658</v>
      </c>
      <c r="F585" s="56">
        <v>46709.08</v>
      </c>
      <c r="G585" t="s">
        <v>12</v>
      </c>
    </row>
    <row r="586" spans="1:7" ht="15.75">
      <c r="A586" s="13" t="s">
        <v>569</v>
      </c>
      <c r="B586" s="14" t="s">
        <v>122</v>
      </c>
      <c r="C586" s="18" t="s">
        <v>390</v>
      </c>
      <c r="E586" s="4">
        <v>45731</v>
      </c>
      <c r="F586" s="57">
        <v>49071.45</v>
      </c>
      <c r="G586" t="s">
        <v>17</v>
      </c>
    </row>
    <row r="587" spans="1:7">
      <c r="A587" s="13" t="s">
        <v>570</v>
      </c>
      <c r="B587" s="14" t="s">
        <v>163</v>
      </c>
      <c r="C587" s="19" t="s">
        <v>530</v>
      </c>
      <c r="E587" s="4">
        <v>45717</v>
      </c>
      <c r="F587" s="78">
        <f>74119.59-F589</f>
        <v>67159.59</v>
      </c>
      <c r="G587" t="s">
        <v>12</v>
      </c>
    </row>
    <row r="588" spans="1:7">
      <c r="A588" s="13" t="s">
        <v>570</v>
      </c>
      <c r="B588" s="14" t="s">
        <v>134</v>
      </c>
      <c r="C588" s="19" t="s">
        <v>530</v>
      </c>
      <c r="E588" s="4">
        <v>45717</v>
      </c>
      <c r="F588" s="78">
        <f>63416.64-F590</f>
        <v>55666.64</v>
      </c>
      <c r="G588" t="s">
        <v>12</v>
      </c>
    </row>
    <row r="589" spans="1:7">
      <c r="A589" s="13" t="s">
        <v>570</v>
      </c>
      <c r="B589" s="14" t="s">
        <v>163</v>
      </c>
      <c r="C589" s="19" t="s">
        <v>571</v>
      </c>
      <c r="E589" s="4">
        <v>45762</v>
      </c>
      <c r="F589" s="52">
        <v>6960</v>
      </c>
      <c r="G589" t="s">
        <v>12</v>
      </c>
    </row>
    <row r="590" spans="1:7">
      <c r="A590" s="13" t="s">
        <v>570</v>
      </c>
      <c r="B590" s="14" t="s">
        <v>134</v>
      </c>
      <c r="C590" s="19" t="s">
        <v>561</v>
      </c>
      <c r="E590" s="4">
        <v>45762</v>
      </c>
      <c r="F590" s="52">
        <v>7750</v>
      </c>
      <c r="G590" t="s">
        <v>12</v>
      </c>
    </row>
    <row r="591" spans="1:7">
      <c r="A591" s="13" t="s">
        <v>572</v>
      </c>
      <c r="B591" s="14" t="s">
        <v>134</v>
      </c>
      <c r="C591" s="18" t="s">
        <v>390</v>
      </c>
      <c r="E591" s="4">
        <v>45658</v>
      </c>
      <c r="F591">
        <v>10500</v>
      </c>
      <c r="G591" t="s">
        <v>12</v>
      </c>
    </row>
    <row r="592" spans="1:7" ht="15.75">
      <c r="A592" s="13" t="s">
        <v>573</v>
      </c>
      <c r="B592" s="14" t="s">
        <v>138</v>
      </c>
      <c r="C592" s="2" t="s">
        <v>390</v>
      </c>
      <c r="E592" s="4">
        <v>45658</v>
      </c>
      <c r="F592" s="57">
        <v>9058.09</v>
      </c>
      <c r="G592" t="s">
        <v>12</v>
      </c>
    </row>
    <row r="593" spans="1:7" ht="15.75">
      <c r="A593" s="13" t="s">
        <v>573</v>
      </c>
      <c r="B593" s="14" t="s">
        <v>138</v>
      </c>
      <c r="C593" s="2" t="s">
        <v>390</v>
      </c>
      <c r="E593" s="4">
        <v>45808</v>
      </c>
      <c r="F593" s="57">
        <v>9058.09</v>
      </c>
      <c r="G593" t="s">
        <v>82</v>
      </c>
    </row>
    <row r="594" spans="1:7" ht="15.75">
      <c r="A594" s="13" t="s">
        <v>574</v>
      </c>
      <c r="B594" s="14" t="s">
        <v>141</v>
      </c>
      <c r="C594" s="2" t="s">
        <v>390</v>
      </c>
      <c r="E594" s="4">
        <v>45621</v>
      </c>
      <c r="F594" s="56">
        <v>11624.18</v>
      </c>
      <c r="G594" t="s">
        <v>325</v>
      </c>
    </row>
    <row r="595" spans="1:7" ht="15.75">
      <c r="A595" s="13" t="s">
        <v>575</v>
      </c>
      <c r="B595" s="14" t="s">
        <v>112</v>
      </c>
      <c r="C595" s="2" t="s">
        <v>390</v>
      </c>
      <c r="E595" s="4">
        <v>45658</v>
      </c>
      <c r="F595" s="56">
        <v>10691.94</v>
      </c>
      <c r="G595" t="s">
        <v>12</v>
      </c>
    </row>
    <row r="596" spans="1:7" ht="15.75">
      <c r="A596" s="13" t="s">
        <v>576</v>
      </c>
      <c r="B596" s="14" t="s">
        <v>149</v>
      </c>
      <c r="C596" s="2" t="s">
        <v>390</v>
      </c>
      <c r="E596" s="4">
        <v>45658</v>
      </c>
      <c r="F596" s="56">
        <v>37000</v>
      </c>
      <c r="G596" t="s">
        <v>12</v>
      </c>
    </row>
    <row r="597" spans="1:7" ht="15.75">
      <c r="A597" s="13" t="s">
        <v>577</v>
      </c>
      <c r="B597" s="14" t="s">
        <v>156</v>
      </c>
      <c r="C597" s="2" t="s">
        <v>390</v>
      </c>
      <c r="E597" s="4">
        <v>45590</v>
      </c>
      <c r="F597" s="56">
        <v>73655.47</v>
      </c>
      <c r="G597" t="s">
        <v>325</v>
      </c>
    </row>
    <row r="598" spans="1:7" ht="15.75">
      <c r="A598" s="13" t="s">
        <v>578</v>
      </c>
      <c r="B598" s="14" t="s">
        <v>163</v>
      </c>
      <c r="C598" s="2" t="s">
        <v>390</v>
      </c>
      <c r="E598" s="4">
        <v>45607</v>
      </c>
      <c r="F598" s="56">
        <v>52593.36</v>
      </c>
      <c r="G598" t="s">
        <v>325</v>
      </c>
    </row>
    <row r="599" spans="1:7" ht="15.75">
      <c r="A599" s="13" t="s">
        <v>578</v>
      </c>
      <c r="B599" s="14" t="s">
        <v>163</v>
      </c>
      <c r="C599" s="2" t="s">
        <v>390</v>
      </c>
      <c r="E599" s="4">
        <v>45912</v>
      </c>
      <c r="F599" s="56">
        <v>52593.36</v>
      </c>
      <c r="G599" t="s">
        <v>82</v>
      </c>
    </row>
    <row r="600" spans="1:7" ht="15.75">
      <c r="A600" s="13" t="s">
        <v>579</v>
      </c>
      <c r="B600" s="14" t="s">
        <v>163</v>
      </c>
      <c r="C600" s="2" t="s">
        <v>390</v>
      </c>
      <c r="E600" s="4">
        <v>45707</v>
      </c>
      <c r="F600" s="56">
        <v>33000</v>
      </c>
      <c r="G600" t="s">
        <v>12</v>
      </c>
    </row>
    <row r="601" spans="1:7" ht="15.75">
      <c r="A601" s="13" t="s">
        <v>580</v>
      </c>
      <c r="B601" s="14" t="s">
        <v>167</v>
      </c>
      <c r="C601" s="2" t="s">
        <v>390</v>
      </c>
      <c r="E601" s="4">
        <v>45335</v>
      </c>
      <c r="F601" s="56">
        <v>13567.36</v>
      </c>
      <c r="G601" t="s">
        <v>325</v>
      </c>
    </row>
    <row r="602" spans="1:7" ht="15.75">
      <c r="A602" s="13" t="s">
        <v>581</v>
      </c>
      <c r="B602" s="14" t="s">
        <v>119</v>
      </c>
      <c r="C602" s="14" t="s">
        <v>390</v>
      </c>
      <c r="E602" s="4">
        <v>45363</v>
      </c>
      <c r="F602" s="57">
        <v>19292.46</v>
      </c>
      <c r="G602" t="s">
        <v>325</v>
      </c>
    </row>
    <row r="603" spans="1:7" ht="15.75">
      <c r="A603" s="13" t="s">
        <v>582</v>
      </c>
      <c r="B603" s="14" t="s">
        <v>180</v>
      </c>
      <c r="C603" s="2" t="s">
        <v>390</v>
      </c>
      <c r="E603" s="4">
        <v>45658</v>
      </c>
      <c r="F603" s="56">
        <v>10016.94</v>
      </c>
      <c r="G603" t="s">
        <v>12</v>
      </c>
    </row>
    <row r="604" spans="1:7" ht="15.75">
      <c r="A604" s="13" t="s">
        <v>583</v>
      </c>
      <c r="B604" s="14" t="s">
        <v>185</v>
      </c>
      <c r="C604" s="2" t="s">
        <v>390</v>
      </c>
      <c r="E604" s="4">
        <v>45658</v>
      </c>
      <c r="F604" s="56">
        <v>70465.48</v>
      </c>
      <c r="G604" t="s">
        <v>12</v>
      </c>
    </row>
    <row r="605" spans="1:7" ht="15.75">
      <c r="A605" s="13" t="s">
        <v>583</v>
      </c>
      <c r="B605" s="14" t="s">
        <v>185</v>
      </c>
      <c r="C605" s="2" t="s">
        <v>390</v>
      </c>
      <c r="E605" s="4">
        <v>45672</v>
      </c>
      <c r="F605" s="57">
        <v>73869.88</v>
      </c>
      <c r="G605" t="s">
        <v>52</v>
      </c>
    </row>
    <row r="606" spans="1:7" ht="15.75">
      <c r="A606" s="13" t="s">
        <v>584</v>
      </c>
      <c r="B606" s="14" t="s">
        <v>113</v>
      </c>
      <c r="C606" s="2" t="s">
        <v>390</v>
      </c>
      <c r="E606" s="4">
        <v>45989</v>
      </c>
      <c r="F606" s="57">
        <v>74448.91</v>
      </c>
      <c r="G606" t="s">
        <v>325</v>
      </c>
    </row>
    <row r="607" spans="1:7">
      <c r="A607" s="13" t="s">
        <v>585</v>
      </c>
      <c r="B607" s="14" t="s">
        <v>200</v>
      </c>
      <c r="C607" s="2" t="s">
        <v>530</v>
      </c>
      <c r="E607" s="4">
        <v>45717</v>
      </c>
      <c r="F607" s="55">
        <v>75448.899999999994</v>
      </c>
      <c r="G607" t="s">
        <v>12</v>
      </c>
    </row>
    <row r="608" spans="1:7">
      <c r="A608" s="13" t="s">
        <v>585</v>
      </c>
      <c r="B608" s="14" t="s">
        <v>200</v>
      </c>
      <c r="C608" s="2" t="s">
        <v>309</v>
      </c>
      <c r="E608" s="4">
        <v>45762</v>
      </c>
      <c r="F608">
        <f>3614.91+6958.46</f>
        <v>10573.369999999999</v>
      </c>
      <c r="G608" t="s">
        <v>12</v>
      </c>
    </row>
    <row r="609" spans="1:7" ht="15.75">
      <c r="A609" s="13" t="s">
        <v>586</v>
      </c>
      <c r="B609" s="14" t="s">
        <v>200</v>
      </c>
      <c r="C609" s="2" t="s">
        <v>390</v>
      </c>
      <c r="E609" s="4">
        <v>45511</v>
      </c>
      <c r="F609" s="56">
        <v>73895.789999999994</v>
      </c>
      <c r="G609" t="s">
        <v>325</v>
      </c>
    </row>
    <row r="610" spans="1:7" ht="15.75">
      <c r="A610" s="13" t="s">
        <v>587</v>
      </c>
      <c r="B610" s="14" t="s">
        <v>204</v>
      </c>
      <c r="C610" s="2" t="s">
        <v>390</v>
      </c>
      <c r="E610" s="4">
        <v>45612</v>
      </c>
      <c r="F610" s="57">
        <v>10351.09</v>
      </c>
      <c r="G610" t="s">
        <v>325</v>
      </c>
    </row>
    <row r="611" spans="1:7">
      <c r="A611" s="15" t="s">
        <v>588</v>
      </c>
      <c r="B611" s="22" t="s">
        <v>209</v>
      </c>
      <c r="C611" s="19" t="s">
        <v>530</v>
      </c>
      <c r="E611" s="4">
        <v>45717</v>
      </c>
      <c r="F611" s="55">
        <f>81816.58-F612</f>
        <v>73724.92</v>
      </c>
      <c r="G611" t="s">
        <v>12</v>
      </c>
    </row>
    <row r="612" spans="1:7">
      <c r="A612" s="15" t="s">
        <v>588</v>
      </c>
      <c r="B612" s="22" t="s">
        <v>209</v>
      </c>
      <c r="C612" s="19" t="s">
        <v>561</v>
      </c>
      <c r="E612" s="4">
        <v>45762</v>
      </c>
      <c r="F612" s="52">
        <v>8091.66</v>
      </c>
      <c r="G612" t="s">
        <v>12</v>
      </c>
    </row>
    <row r="613" spans="1:7" ht="15.75">
      <c r="A613" s="13" t="s">
        <v>589</v>
      </c>
      <c r="B613" s="14" t="s">
        <v>114</v>
      </c>
      <c r="C613" s="14" t="s">
        <v>390</v>
      </c>
      <c r="E613" s="4">
        <v>45492</v>
      </c>
      <c r="F613" s="57">
        <v>11986.17</v>
      </c>
      <c r="G613" t="s">
        <v>325</v>
      </c>
    </row>
    <row r="614" spans="1:7">
      <c r="A614" s="13" t="s">
        <v>590</v>
      </c>
      <c r="B614" s="14" t="s">
        <v>234</v>
      </c>
      <c r="C614" s="6" t="s">
        <v>530</v>
      </c>
      <c r="E614" s="4">
        <v>45717</v>
      </c>
      <c r="F614" s="55">
        <f>76256.04-F619</f>
        <v>63443.679999999993</v>
      </c>
      <c r="G614" t="s">
        <v>17</v>
      </c>
    </row>
    <row r="615" spans="1:7">
      <c r="A615" s="13" t="s">
        <v>590</v>
      </c>
      <c r="B615" s="14" t="s">
        <v>286</v>
      </c>
      <c r="C615" s="6" t="s">
        <v>530</v>
      </c>
      <c r="E615" s="4">
        <v>45717</v>
      </c>
      <c r="F615" s="55">
        <f>75796.31-F623</f>
        <v>63064.08</v>
      </c>
      <c r="G615" t="s">
        <v>17</v>
      </c>
    </row>
    <row r="616" spans="1:7">
      <c r="A616" s="13" t="s">
        <v>590</v>
      </c>
      <c r="B616" s="14" t="s">
        <v>241</v>
      </c>
      <c r="C616" s="6" t="s">
        <v>530</v>
      </c>
      <c r="E616" s="4">
        <v>45717</v>
      </c>
      <c r="F616" s="55">
        <f>174164.17-F620</f>
        <v>168966.51</v>
      </c>
      <c r="G616" t="s">
        <v>17</v>
      </c>
    </row>
    <row r="617" spans="1:7">
      <c r="A617" s="13" t="s">
        <v>590</v>
      </c>
      <c r="B617" s="14" t="s">
        <v>252</v>
      </c>
      <c r="C617" s="6" t="s">
        <v>530</v>
      </c>
      <c r="E617" s="4">
        <v>45717</v>
      </c>
      <c r="F617" s="55">
        <f>80792.48-F621</f>
        <v>67794.509999999995</v>
      </c>
      <c r="G617" t="s">
        <v>17</v>
      </c>
    </row>
    <row r="618" spans="1:7">
      <c r="A618" s="13" t="s">
        <v>590</v>
      </c>
      <c r="B618" s="14" t="s">
        <v>265</v>
      </c>
      <c r="C618" s="6" t="s">
        <v>530</v>
      </c>
      <c r="E618" s="4">
        <v>45717</v>
      </c>
      <c r="F618" s="55">
        <f>91886.05-F622</f>
        <v>78888.09</v>
      </c>
      <c r="G618" t="s">
        <v>17</v>
      </c>
    </row>
    <row r="619" spans="1:7">
      <c r="A619" s="13" t="s">
        <v>590</v>
      </c>
      <c r="B619" s="14" t="s">
        <v>234</v>
      </c>
      <c r="C619" s="6" t="s">
        <v>561</v>
      </c>
      <c r="E619" s="4">
        <v>45851</v>
      </c>
      <c r="F619" s="52">
        <v>12812.36</v>
      </c>
      <c r="G619" t="s">
        <v>17</v>
      </c>
    </row>
    <row r="620" spans="1:7">
      <c r="A620" s="13" t="s">
        <v>590</v>
      </c>
      <c r="B620" s="14" t="s">
        <v>241</v>
      </c>
      <c r="C620" s="6" t="s">
        <v>561</v>
      </c>
      <c r="E620" s="4">
        <v>45851</v>
      </c>
      <c r="F620" s="52">
        <v>5197.66</v>
      </c>
      <c r="G620" t="s">
        <v>17</v>
      </c>
    </row>
    <row r="621" spans="1:7">
      <c r="A621" s="13" t="s">
        <v>590</v>
      </c>
      <c r="B621" s="14" t="s">
        <v>252</v>
      </c>
      <c r="C621" s="6" t="s">
        <v>561</v>
      </c>
      <c r="E621" s="4">
        <v>45851</v>
      </c>
      <c r="F621" s="52">
        <v>12997.97</v>
      </c>
      <c r="G621" t="s">
        <v>17</v>
      </c>
    </row>
    <row r="622" spans="1:7">
      <c r="A622" s="13" t="s">
        <v>590</v>
      </c>
      <c r="B622" s="14" t="s">
        <v>265</v>
      </c>
      <c r="C622" s="6" t="s">
        <v>561</v>
      </c>
      <c r="E622" s="4">
        <v>45851</v>
      </c>
      <c r="F622" s="52">
        <v>12997.96</v>
      </c>
      <c r="G622" t="s">
        <v>17</v>
      </c>
    </row>
    <row r="623" spans="1:7">
      <c r="A623" s="13" t="s">
        <v>590</v>
      </c>
      <c r="B623" s="14" t="s">
        <v>286</v>
      </c>
      <c r="C623" s="6" t="s">
        <v>561</v>
      </c>
      <c r="E623" s="4">
        <v>45851</v>
      </c>
      <c r="F623" s="52">
        <v>12732.23</v>
      </c>
      <c r="G623" t="s">
        <v>17</v>
      </c>
    </row>
    <row r="624" spans="1:7">
      <c r="A624" s="13" t="s">
        <v>591</v>
      </c>
      <c r="B624" s="14" t="s">
        <v>222</v>
      </c>
      <c r="C624" s="6" t="s">
        <v>530</v>
      </c>
      <c r="E624" s="4">
        <v>45717</v>
      </c>
      <c r="F624" s="55">
        <f>62933.31-F627</f>
        <v>52099.99</v>
      </c>
      <c r="G624" t="s">
        <v>592</v>
      </c>
    </row>
    <row r="625" spans="1:7">
      <c r="A625" s="13" t="s">
        <v>591</v>
      </c>
      <c r="B625" s="14" t="s">
        <v>223</v>
      </c>
      <c r="C625" s="6" t="s">
        <v>530</v>
      </c>
      <c r="E625" s="4">
        <v>45717</v>
      </c>
      <c r="F625" s="55">
        <f>99066.53-F628</f>
        <v>77733.289999999994</v>
      </c>
      <c r="G625" t="s">
        <v>592</v>
      </c>
    </row>
    <row r="626" spans="1:7">
      <c r="A626" s="13" t="s">
        <v>591</v>
      </c>
      <c r="B626" s="14" t="s">
        <v>224</v>
      </c>
      <c r="C626" s="6" t="s">
        <v>530</v>
      </c>
      <c r="E626" s="4">
        <v>45717</v>
      </c>
      <c r="F626" s="55">
        <f>68416.61-F629</f>
        <v>57749.99</v>
      </c>
      <c r="G626" t="s">
        <v>592</v>
      </c>
    </row>
    <row r="627" spans="1:7">
      <c r="A627" s="13" t="s">
        <v>591</v>
      </c>
      <c r="B627" s="14" t="s">
        <v>222</v>
      </c>
      <c r="C627" s="6" t="s">
        <v>561</v>
      </c>
      <c r="E627" s="4">
        <v>45762</v>
      </c>
      <c r="F627" s="52">
        <v>10833.32</v>
      </c>
      <c r="G627" t="s">
        <v>592</v>
      </c>
    </row>
    <row r="628" spans="1:7">
      <c r="A628" s="13" t="s">
        <v>591</v>
      </c>
      <c r="B628" s="14" t="s">
        <v>223</v>
      </c>
      <c r="C628" s="6" t="s">
        <v>561</v>
      </c>
      <c r="E628" s="4">
        <v>45762</v>
      </c>
      <c r="F628" s="52">
        <v>21333.24</v>
      </c>
      <c r="G628" t="s">
        <v>592</v>
      </c>
    </row>
    <row r="629" spans="1:7">
      <c r="A629" s="13" t="s">
        <v>591</v>
      </c>
      <c r="B629" s="14" t="s">
        <v>224</v>
      </c>
      <c r="C629" s="6" t="s">
        <v>561</v>
      </c>
      <c r="E629" s="4">
        <v>45762</v>
      </c>
      <c r="F629" s="52">
        <v>10666.62</v>
      </c>
      <c r="G629" t="s">
        <v>592</v>
      </c>
    </row>
    <row r="630" spans="1:7">
      <c r="A630" s="13" t="s">
        <v>593</v>
      </c>
      <c r="B630" s="14" t="s">
        <v>226</v>
      </c>
      <c r="C630" s="18" t="s">
        <v>530</v>
      </c>
      <c r="E630" s="4">
        <v>45742</v>
      </c>
      <c r="F630" s="52">
        <f>60206.11-F637</f>
        <v>50526.23</v>
      </c>
      <c r="G630" t="s">
        <v>17</v>
      </c>
    </row>
    <row r="631" spans="1:7">
      <c r="A631" s="13" t="s">
        <v>593</v>
      </c>
      <c r="B631" s="14" t="s">
        <v>231</v>
      </c>
      <c r="C631" s="18" t="s">
        <v>530</v>
      </c>
      <c r="E631" s="4">
        <v>45742</v>
      </c>
      <c r="F631" s="52">
        <v>63361.47</v>
      </c>
      <c r="G631" t="s">
        <v>17</v>
      </c>
    </row>
    <row r="632" spans="1:7">
      <c r="A632" s="13" t="s">
        <v>593</v>
      </c>
      <c r="B632" s="14" t="s">
        <v>270</v>
      </c>
      <c r="C632" s="18" t="s">
        <v>530</v>
      </c>
      <c r="E632" s="4">
        <v>45742</v>
      </c>
      <c r="F632" s="78">
        <f>83590.19-F638</f>
        <v>73251.490000000005</v>
      </c>
      <c r="G632" t="s">
        <v>17</v>
      </c>
    </row>
    <row r="633" spans="1:7">
      <c r="A633" s="13" t="s">
        <v>593</v>
      </c>
      <c r="B633" s="14" t="s">
        <v>275</v>
      </c>
      <c r="C633" s="18" t="s">
        <v>530</v>
      </c>
      <c r="E633" s="4">
        <v>45742</v>
      </c>
      <c r="F633" s="52">
        <v>194032.21</v>
      </c>
      <c r="G633" t="s">
        <v>17</v>
      </c>
    </row>
    <row r="634" spans="1:7">
      <c r="A634" s="13" t="s">
        <v>593</v>
      </c>
      <c r="B634" s="14" t="s">
        <v>278</v>
      </c>
      <c r="C634" s="18" t="s">
        <v>530</v>
      </c>
      <c r="E634" s="4">
        <v>45742</v>
      </c>
      <c r="F634" s="78">
        <f>67796.22-F639</f>
        <v>57460.12</v>
      </c>
      <c r="G634" t="s">
        <v>17</v>
      </c>
    </row>
    <row r="635" spans="1:7">
      <c r="A635" s="13" t="s">
        <v>593</v>
      </c>
      <c r="B635" s="14" t="s">
        <v>282</v>
      </c>
      <c r="C635" s="18" t="s">
        <v>530</v>
      </c>
      <c r="E635" s="4">
        <v>45742</v>
      </c>
      <c r="F635" s="78">
        <f>75403.88-F640</f>
        <v>65065.180000000008</v>
      </c>
      <c r="G635" t="s">
        <v>17</v>
      </c>
    </row>
    <row r="636" spans="1:7">
      <c r="A636" s="13" t="s">
        <v>593</v>
      </c>
      <c r="B636" s="14" t="s">
        <v>290</v>
      </c>
      <c r="C636" s="18" t="s">
        <v>530</v>
      </c>
      <c r="E636" s="4">
        <v>45742</v>
      </c>
      <c r="F636" s="78">
        <f>62935.27-F641</f>
        <v>52616.47</v>
      </c>
      <c r="G636" t="s">
        <v>17</v>
      </c>
    </row>
    <row r="637" spans="1:7">
      <c r="A637" s="13" t="s">
        <v>593</v>
      </c>
      <c r="B637" s="14" t="s">
        <v>226</v>
      </c>
      <c r="C637" s="18" t="s">
        <v>561</v>
      </c>
      <c r="E637" s="4">
        <v>45853</v>
      </c>
      <c r="F637" s="52">
        <v>9679.8799999999992</v>
      </c>
      <c r="G637" t="s">
        <v>17</v>
      </c>
    </row>
    <row r="638" spans="1:7">
      <c r="A638" s="13" t="s">
        <v>593</v>
      </c>
      <c r="B638" s="14" t="s">
        <v>270</v>
      </c>
      <c r="C638" s="18" t="s">
        <v>561</v>
      </c>
      <c r="E638" s="4">
        <v>45853</v>
      </c>
      <c r="F638" s="52">
        <v>10338.700000000001</v>
      </c>
      <c r="G638" t="s">
        <v>17</v>
      </c>
    </row>
    <row r="639" spans="1:7">
      <c r="A639" s="13" t="s">
        <v>593</v>
      </c>
      <c r="B639" s="14" t="s">
        <v>278</v>
      </c>
      <c r="C639" s="18" t="s">
        <v>561</v>
      </c>
      <c r="E639" s="4">
        <v>45853</v>
      </c>
      <c r="F639" s="52">
        <v>10336.1</v>
      </c>
      <c r="G639" t="s">
        <v>17</v>
      </c>
    </row>
    <row r="640" spans="1:7">
      <c r="A640" s="13" t="s">
        <v>593</v>
      </c>
      <c r="B640" s="14" t="s">
        <v>282</v>
      </c>
      <c r="C640" s="18" t="s">
        <v>561</v>
      </c>
      <c r="E640" s="4">
        <v>45853</v>
      </c>
      <c r="F640" s="52">
        <v>10338.700000000001</v>
      </c>
      <c r="G640" t="s">
        <v>17</v>
      </c>
    </row>
    <row r="641" spans="1:7">
      <c r="A641" s="13" t="s">
        <v>593</v>
      </c>
      <c r="B641" s="14" t="s">
        <v>290</v>
      </c>
      <c r="C641" s="18" t="s">
        <v>561</v>
      </c>
      <c r="E641" s="4">
        <v>45853</v>
      </c>
      <c r="F641" s="52">
        <v>10318.799999999999</v>
      </c>
      <c r="G641" t="s">
        <v>17</v>
      </c>
    </row>
    <row r="642" spans="1:7" ht="15.75">
      <c r="A642" s="13" t="s">
        <v>594</v>
      </c>
      <c r="B642" s="14" t="s">
        <v>226</v>
      </c>
      <c r="C642" s="2" t="s">
        <v>390</v>
      </c>
      <c r="E642" s="4">
        <v>45658</v>
      </c>
      <c r="F642" s="56">
        <v>12636.98</v>
      </c>
      <c r="G642" t="s">
        <v>12</v>
      </c>
    </row>
    <row r="643" spans="1:7" ht="15.75">
      <c r="A643" s="13" t="s">
        <v>594</v>
      </c>
      <c r="B643" s="14" t="s">
        <v>226</v>
      </c>
      <c r="C643" s="2" t="s">
        <v>390</v>
      </c>
      <c r="E643" s="4">
        <v>45802</v>
      </c>
      <c r="F643" s="57">
        <v>13335.77</v>
      </c>
      <c r="G643" t="s">
        <v>52</v>
      </c>
    </row>
    <row r="644" spans="1:7" ht="15.75">
      <c r="A644" s="13" t="s">
        <v>595</v>
      </c>
      <c r="B644" s="14" t="s">
        <v>231</v>
      </c>
      <c r="C644" s="18" t="s">
        <v>390</v>
      </c>
      <c r="E644" s="4">
        <v>45658</v>
      </c>
      <c r="F644" s="57">
        <v>19551.8</v>
      </c>
      <c r="G644" t="s">
        <v>12</v>
      </c>
    </row>
    <row r="645" spans="1:7" ht="15.75">
      <c r="A645" s="13" t="s">
        <v>595</v>
      </c>
      <c r="B645" s="14" t="s">
        <v>231</v>
      </c>
      <c r="C645" s="18" t="s">
        <v>390</v>
      </c>
      <c r="E645" s="4">
        <v>45845</v>
      </c>
      <c r="F645" s="57">
        <v>20598.05</v>
      </c>
      <c r="G645" t="s">
        <v>52</v>
      </c>
    </row>
    <row r="646" spans="1:7" ht="15.75">
      <c r="A646" s="13" t="s">
        <v>596</v>
      </c>
      <c r="B646" s="14" t="s">
        <v>234</v>
      </c>
      <c r="C646" s="2" t="s">
        <v>390</v>
      </c>
      <c r="E646" s="4">
        <v>45658</v>
      </c>
      <c r="F646" s="80">
        <v>9568.31</v>
      </c>
      <c r="G646" t="s">
        <v>12</v>
      </c>
    </row>
    <row r="647" spans="1:7" ht="15.75">
      <c r="A647" s="13" t="s">
        <v>596</v>
      </c>
      <c r="B647" s="14" t="s">
        <v>234</v>
      </c>
      <c r="C647" s="2" t="s">
        <v>390</v>
      </c>
      <c r="E647" s="4">
        <v>45689</v>
      </c>
      <c r="F647" s="80">
        <v>10004.61</v>
      </c>
      <c r="G647" t="s">
        <v>52</v>
      </c>
    </row>
    <row r="648" spans="1:7" ht="15.75">
      <c r="A648" s="13" t="s">
        <v>597</v>
      </c>
      <c r="B648" s="14" t="s">
        <v>222</v>
      </c>
      <c r="C648" s="2" t="s">
        <v>390</v>
      </c>
      <c r="E648" s="4">
        <v>44959</v>
      </c>
      <c r="F648" s="57">
        <v>20584.98</v>
      </c>
      <c r="G648" t="s">
        <v>544</v>
      </c>
    </row>
    <row r="649" spans="1:7" ht="15.75">
      <c r="A649" s="13" t="s">
        <v>598</v>
      </c>
      <c r="B649" s="14" t="s">
        <v>241</v>
      </c>
      <c r="C649" s="2" t="s">
        <v>390</v>
      </c>
      <c r="E649" s="4">
        <v>45658</v>
      </c>
      <c r="F649" s="57">
        <v>61029.58</v>
      </c>
      <c r="G649" t="s">
        <v>592</v>
      </c>
    </row>
    <row r="650" spans="1:7" ht="15.75">
      <c r="A650" s="13" t="s">
        <v>598</v>
      </c>
      <c r="B650" s="14" t="s">
        <v>241</v>
      </c>
      <c r="C650" s="2" t="s">
        <v>390</v>
      </c>
      <c r="E650" s="4">
        <v>45777</v>
      </c>
      <c r="F650" s="57">
        <v>64372.29</v>
      </c>
      <c r="G650" t="s">
        <v>52</v>
      </c>
    </row>
    <row r="651" spans="1:7" ht="15.75">
      <c r="A651" s="13" t="s">
        <v>598</v>
      </c>
      <c r="B651" s="14" t="s">
        <v>241</v>
      </c>
      <c r="C651" s="2" t="s">
        <v>390</v>
      </c>
      <c r="E651" s="4">
        <v>45896</v>
      </c>
      <c r="F651" s="57">
        <v>51497.83</v>
      </c>
      <c r="G651" t="s">
        <v>599</v>
      </c>
    </row>
    <row r="652" spans="1:7" ht="15.75">
      <c r="A652" s="13" t="s">
        <v>600</v>
      </c>
      <c r="B652" s="14" t="s">
        <v>223</v>
      </c>
      <c r="C652" s="2" t="s">
        <v>390</v>
      </c>
      <c r="E652" s="4">
        <v>45658</v>
      </c>
      <c r="F652" s="57">
        <v>50537.48</v>
      </c>
      <c r="G652" t="s">
        <v>592</v>
      </c>
    </row>
    <row r="653" spans="1:7" ht="15.75">
      <c r="A653" s="13" t="s">
        <v>600</v>
      </c>
      <c r="B653" s="14" t="s">
        <v>223</v>
      </c>
      <c r="C653" s="2" t="s">
        <v>390</v>
      </c>
      <c r="E653" s="4">
        <v>45863</v>
      </c>
      <c r="F653" s="57">
        <v>53241.83</v>
      </c>
      <c r="G653" t="s">
        <v>52</v>
      </c>
    </row>
    <row r="654" spans="1:7" ht="15.75">
      <c r="A654" s="13" t="s">
        <v>601</v>
      </c>
      <c r="B654" s="14" t="s">
        <v>252</v>
      </c>
      <c r="C654" s="2" t="s">
        <v>390</v>
      </c>
      <c r="E654" s="4">
        <v>45658</v>
      </c>
      <c r="F654" s="56">
        <v>22331.41</v>
      </c>
      <c r="G654" t="s">
        <v>592</v>
      </c>
    </row>
    <row r="655" spans="1:7" ht="15.75">
      <c r="A655" s="13" t="s">
        <v>601</v>
      </c>
      <c r="B655" s="14" t="s">
        <v>252</v>
      </c>
      <c r="C655" s="2" t="s">
        <v>390</v>
      </c>
      <c r="E655" s="4">
        <v>45702</v>
      </c>
      <c r="F655" s="57">
        <v>23349.69</v>
      </c>
      <c r="G655" t="s">
        <v>52</v>
      </c>
    </row>
    <row r="656" spans="1:7" ht="15.75">
      <c r="A656" s="13" t="s">
        <v>602</v>
      </c>
      <c r="B656" s="14" t="s">
        <v>224</v>
      </c>
      <c r="C656" s="2" t="s">
        <v>390</v>
      </c>
      <c r="E656" s="4">
        <v>45274</v>
      </c>
      <c r="F656" s="57">
        <v>21821.46</v>
      </c>
      <c r="G656" t="s">
        <v>544</v>
      </c>
    </row>
    <row r="657" spans="1:7" ht="15.75">
      <c r="A657" s="13" t="s">
        <v>603</v>
      </c>
      <c r="B657" s="14" t="s">
        <v>270</v>
      </c>
      <c r="C657" s="2" t="s">
        <v>390</v>
      </c>
      <c r="E657" s="4">
        <v>45658</v>
      </c>
      <c r="F657" s="57">
        <v>17262.48</v>
      </c>
      <c r="G657" t="s">
        <v>592</v>
      </c>
    </row>
    <row r="658" spans="1:7" ht="15.75">
      <c r="A658" s="13" t="s">
        <v>603</v>
      </c>
      <c r="B658" s="14" t="s">
        <v>270</v>
      </c>
      <c r="C658" s="2" t="s">
        <v>390</v>
      </c>
      <c r="E658" s="4">
        <v>45688</v>
      </c>
      <c r="F658" s="57">
        <v>18096.48</v>
      </c>
      <c r="G658" t="s">
        <v>52</v>
      </c>
    </row>
    <row r="659" spans="1:7" ht="15.75">
      <c r="A659" s="13" t="s">
        <v>604</v>
      </c>
      <c r="B659" s="14" t="s">
        <v>278</v>
      </c>
      <c r="C659" s="2" t="s">
        <v>390</v>
      </c>
      <c r="E659" s="4">
        <v>44121</v>
      </c>
      <c r="F659" s="56">
        <v>9510.4500000000007</v>
      </c>
      <c r="G659" t="s">
        <v>605</v>
      </c>
    </row>
    <row r="660" spans="1:7" ht="17.25">
      <c r="A660" s="13" t="s">
        <v>606</v>
      </c>
      <c r="B660" s="14" t="s">
        <v>282</v>
      </c>
      <c r="C660" s="2" t="s">
        <v>390</v>
      </c>
      <c r="E660" s="4">
        <v>45658</v>
      </c>
      <c r="F660" s="58">
        <v>15561.92</v>
      </c>
      <c r="G660" t="s">
        <v>592</v>
      </c>
    </row>
    <row r="661" spans="1:7" ht="15.75">
      <c r="A661" s="13" t="s">
        <v>606</v>
      </c>
      <c r="B661" s="14" t="s">
        <v>282</v>
      </c>
      <c r="C661" s="2" t="s">
        <v>390</v>
      </c>
      <c r="E661" s="4">
        <v>45959</v>
      </c>
      <c r="F661" s="57">
        <v>16366.84</v>
      </c>
      <c r="G661" t="s">
        <v>52</v>
      </c>
    </row>
    <row r="662" spans="1:7" ht="15.75">
      <c r="A662" s="13" t="s">
        <v>607</v>
      </c>
      <c r="B662" s="14" t="s">
        <v>286</v>
      </c>
      <c r="C662" s="2" t="s">
        <v>390</v>
      </c>
      <c r="E662" s="4">
        <v>45658</v>
      </c>
      <c r="F662" s="57">
        <v>8938.5</v>
      </c>
      <c r="G662" t="s">
        <v>592</v>
      </c>
    </row>
    <row r="663" spans="1:7" ht="15.75">
      <c r="A663" s="13" t="s">
        <v>607</v>
      </c>
      <c r="B663" s="14" t="s">
        <v>286</v>
      </c>
      <c r="C663" s="2" t="s">
        <v>390</v>
      </c>
      <c r="E663" s="4">
        <v>45798</v>
      </c>
      <c r="F663" s="57">
        <v>9432.77</v>
      </c>
      <c r="G663" t="s">
        <v>52</v>
      </c>
    </row>
    <row r="664" spans="1:7" ht="15.75">
      <c r="A664" s="13" t="s">
        <v>608</v>
      </c>
      <c r="B664" s="14" t="s">
        <v>290</v>
      </c>
      <c r="C664" s="2" t="s">
        <v>390</v>
      </c>
      <c r="E664" s="4">
        <v>45588</v>
      </c>
      <c r="F664" s="57">
        <v>6981.66</v>
      </c>
      <c r="G664" t="s">
        <v>325</v>
      </c>
    </row>
    <row r="665" spans="1:7">
      <c r="A665" s="28" t="s">
        <v>609</v>
      </c>
      <c r="B665" s="14" t="s">
        <v>301</v>
      </c>
      <c r="C665" s="81" t="s">
        <v>530</v>
      </c>
      <c r="E665" s="4">
        <v>45717</v>
      </c>
      <c r="F665" s="55">
        <f>69671.24-F669</f>
        <v>65295.3</v>
      </c>
      <c r="G665" t="s">
        <v>592</v>
      </c>
    </row>
    <row r="666" spans="1:7">
      <c r="A666" s="28" t="s">
        <v>609</v>
      </c>
      <c r="B666" s="14" t="s">
        <v>305</v>
      </c>
      <c r="C666" s="81" t="s">
        <v>530</v>
      </c>
      <c r="E666" s="4">
        <v>45717</v>
      </c>
      <c r="F666" s="55">
        <f>90405.47-F670</f>
        <v>64809.64</v>
      </c>
      <c r="G666" t="s">
        <v>592</v>
      </c>
    </row>
    <row r="667" spans="1:7">
      <c r="A667" s="28" t="s">
        <v>609</v>
      </c>
      <c r="B667" s="14" t="s">
        <v>306</v>
      </c>
      <c r="C667" s="81" t="s">
        <v>530</v>
      </c>
      <c r="E667" s="4">
        <v>45717</v>
      </c>
      <c r="F667" s="55">
        <v>151059.07999999999</v>
      </c>
      <c r="G667" t="s">
        <v>592</v>
      </c>
    </row>
    <row r="668" spans="1:7">
      <c r="A668" s="28" t="s">
        <v>609</v>
      </c>
      <c r="B668" s="14" t="s">
        <v>408</v>
      </c>
      <c r="C668" s="81" t="s">
        <v>530</v>
      </c>
      <c r="E668" s="4">
        <v>45717</v>
      </c>
      <c r="F668" s="78">
        <f>67226.21-F671</f>
        <v>58163.930000000008</v>
      </c>
      <c r="G668" t="s">
        <v>592</v>
      </c>
    </row>
    <row r="669" spans="1:7" ht="17.25">
      <c r="A669" s="28" t="s">
        <v>609</v>
      </c>
      <c r="B669" s="14" t="s">
        <v>301</v>
      </c>
      <c r="C669" s="81" t="s">
        <v>610</v>
      </c>
      <c r="E669" s="4">
        <v>45755</v>
      </c>
      <c r="F669" s="82">
        <v>4375.9399999999996</v>
      </c>
      <c r="G669" t="s">
        <v>592</v>
      </c>
    </row>
    <row r="670" spans="1:7">
      <c r="A670" s="28" t="s">
        <v>609</v>
      </c>
      <c r="B670" s="14" t="s">
        <v>305</v>
      </c>
      <c r="C670" s="81" t="s">
        <v>309</v>
      </c>
      <c r="E670" s="4">
        <v>45755</v>
      </c>
      <c r="F670">
        <f>16644.45+8951.38</f>
        <v>25595.83</v>
      </c>
      <c r="G670" t="s">
        <v>592</v>
      </c>
    </row>
    <row r="671" spans="1:7">
      <c r="A671" s="28" t="s">
        <v>609</v>
      </c>
      <c r="B671" s="14" t="s">
        <v>408</v>
      </c>
      <c r="C671" s="81" t="s">
        <v>462</v>
      </c>
      <c r="E671" s="4">
        <v>45755</v>
      </c>
      <c r="F671" s="52">
        <v>9062.2800000000007</v>
      </c>
      <c r="G671" t="s">
        <v>592</v>
      </c>
    </row>
    <row r="672" spans="1:7">
      <c r="A672" s="28" t="s">
        <v>609</v>
      </c>
      <c r="B672" s="14" t="s">
        <v>301</v>
      </c>
      <c r="C672" s="81" t="s">
        <v>530</v>
      </c>
      <c r="D672" s="4">
        <v>45849</v>
      </c>
      <c r="G672" t="s">
        <v>611</v>
      </c>
    </row>
    <row r="673" spans="1:7">
      <c r="A673" s="28" t="s">
        <v>609</v>
      </c>
      <c r="B673" s="14" t="s">
        <v>305</v>
      </c>
      <c r="C673" s="81" t="s">
        <v>530</v>
      </c>
      <c r="D673" s="4">
        <v>45849</v>
      </c>
      <c r="G673" t="s">
        <v>611</v>
      </c>
    </row>
    <row r="674" spans="1:7">
      <c r="A674" s="28" t="s">
        <v>609</v>
      </c>
      <c r="B674" s="14" t="s">
        <v>306</v>
      </c>
      <c r="C674" s="81" t="s">
        <v>530</v>
      </c>
      <c r="D674" s="4">
        <v>45849</v>
      </c>
      <c r="G674" t="s">
        <v>611</v>
      </c>
    </row>
    <row r="675" spans="1:7">
      <c r="A675" s="28" t="s">
        <v>609</v>
      </c>
      <c r="B675" s="14" t="s">
        <v>408</v>
      </c>
      <c r="C675" s="81" t="s">
        <v>530</v>
      </c>
      <c r="D675" s="4">
        <v>45849</v>
      </c>
      <c r="G675" t="s">
        <v>611</v>
      </c>
    </row>
    <row r="676" spans="1:7">
      <c r="A676" s="28" t="s">
        <v>609</v>
      </c>
      <c r="B676" s="14" t="s">
        <v>301</v>
      </c>
      <c r="C676" s="81" t="s">
        <v>610</v>
      </c>
      <c r="D676" s="4">
        <v>45849</v>
      </c>
      <c r="G676" t="s">
        <v>611</v>
      </c>
    </row>
    <row r="677" spans="1:7">
      <c r="A677" s="28" t="s">
        <v>609</v>
      </c>
      <c r="B677" s="14" t="s">
        <v>305</v>
      </c>
      <c r="C677" s="81" t="s">
        <v>309</v>
      </c>
      <c r="D677" s="4">
        <v>45849</v>
      </c>
      <c r="G677" t="s">
        <v>611</v>
      </c>
    </row>
    <row r="678" spans="1:7">
      <c r="A678" s="28" t="s">
        <v>609</v>
      </c>
      <c r="B678" s="14" t="s">
        <v>408</v>
      </c>
      <c r="C678" s="81" t="s">
        <v>462</v>
      </c>
      <c r="D678" s="4">
        <v>45849</v>
      </c>
      <c r="G678" t="s">
        <v>611</v>
      </c>
    </row>
    <row r="679" spans="1:7">
      <c r="A679" s="28" t="s">
        <v>612</v>
      </c>
      <c r="B679" s="14" t="s">
        <v>351</v>
      </c>
      <c r="C679" s="81" t="s">
        <v>530</v>
      </c>
      <c r="E679" s="4">
        <v>45717</v>
      </c>
      <c r="F679" s="78">
        <f>73214.4-F681</f>
        <v>63934.969999999994</v>
      </c>
      <c r="G679" t="s">
        <v>17</v>
      </c>
    </row>
    <row r="680" spans="1:7">
      <c r="A680" s="28" t="s">
        <v>612</v>
      </c>
      <c r="B680" s="14" t="s">
        <v>307</v>
      </c>
      <c r="C680" s="81" t="s">
        <v>530</v>
      </c>
      <c r="E680" s="4">
        <v>45717</v>
      </c>
      <c r="F680">
        <f>117476.4-F682</f>
        <v>108845.12</v>
      </c>
      <c r="G680" t="s">
        <v>17</v>
      </c>
    </row>
    <row r="681" spans="1:7">
      <c r="A681" s="28" t="s">
        <v>612</v>
      </c>
      <c r="B681" s="14" t="s">
        <v>351</v>
      </c>
      <c r="C681" s="81" t="s">
        <v>462</v>
      </c>
      <c r="E681" s="4">
        <v>45754</v>
      </c>
      <c r="F681" s="52">
        <v>9279.43</v>
      </c>
      <c r="G681" t="s">
        <v>17</v>
      </c>
    </row>
    <row r="682" spans="1:7">
      <c r="A682" s="28" t="s">
        <v>612</v>
      </c>
      <c r="B682" s="14" t="s">
        <v>307</v>
      </c>
      <c r="C682" s="81" t="s">
        <v>534</v>
      </c>
      <c r="E682" s="4">
        <v>45754</v>
      </c>
      <c r="F682" s="52">
        <v>8631.2800000000007</v>
      </c>
      <c r="G682" t="s">
        <v>17</v>
      </c>
    </row>
    <row r="683" spans="1:7">
      <c r="A683" s="28" t="s">
        <v>613</v>
      </c>
      <c r="B683" s="14" t="s">
        <v>303</v>
      </c>
      <c r="C683" s="81" t="s">
        <v>530</v>
      </c>
      <c r="E683" s="4">
        <v>45717</v>
      </c>
      <c r="F683" s="55">
        <v>171331.65</v>
      </c>
      <c r="G683" t="s">
        <v>17</v>
      </c>
    </row>
    <row r="684" spans="1:7">
      <c r="A684" s="28" t="s">
        <v>613</v>
      </c>
      <c r="B684" s="14" t="s">
        <v>338</v>
      </c>
      <c r="C684" s="81" t="s">
        <v>530</v>
      </c>
      <c r="E684" s="4">
        <v>45717</v>
      </c>
      <c r="F684" s="78">
        <f>62741.3-F689</f>
        <v>51567.79</v>
      </c>
      <c r="G684" t="s">
        <v>17</v>
      </c>
    </row>
    <row r="685" spans="1:7">
      <c r="A685" s="28" t="s">
        <v>613</v>
      </c>
      <c r="B685" s="14" t="s">
        <v>304</v>
      </c>
      <c r="C685" s="81" t="s">
        <v>530</v>
      </c>
      <c r="E685" s="4">
        <v>45717</v>
      </c>
      <c r="F685" s="55">
        <f>73100.29-F690</f>
        <v>63337.51999999999</v>
      </c>
      <c r="G685" t="s">
        <v>17</v>
      </c>
    </row>
    <row r="686" spans="1:7">
      <c r="A686" s="28" t="s">
        <v>613</v>
      </c>
      <c r="B686" s="14" t="s">
        <v>361</v>
      </c>
      <c r="C686" s="81" t="s">
        <v>530</v>
      </c>
      <c r="E686" s="4">
        <v>45717</v>
      </c>
      <c r="F686" s="55">
        <f>62528.53-F691</f>
        <v>51387.409999999996</v>
      </c>
      <c r="G686" t="s">
        <v>17</v>
      </c>
    </row>
    <row r="687" spans="1:7">
      <c r="A687" s="28" t="s">
        <v>613</v>
      </c>
      <c r="B687" s="14" t="s">
        <v>397</v>
      </c>
      <c r="C687" s="81" t="s">
        <v>530</v>
      </c>
      <c r="E687" s="4">
        <v>45717</v>
      </c>
      <c r="F687" s="55">
        <f>59734.68-F692</f>
        <v>48597.96</v>
      </c>
      <c r="G687" t="s">
        <v>17</v>
      </c>
    </row>
    <row r="688" spans="1:7">
      <c r="A688" s="28" t="s">
        <v>613</v>
      </c>
      <c r="B688" s="14" t="s">
        <v>303</v>
      </c>
      <c r="C688" s="81" t="s">
        <v>309</v>
      </c>
      <c r="E688" s="4">
        <v>45748</v>
      </c>
      <c r="F688">
        <f>5032.11+9761.78+11338.88</f>
        <v>26132.769999999997</v>
      </c>
      <c r="G688" t="s">
        <v>17</v>
      </c>
    </row>
    <row r="689" spans="1:7">
      <c r="A689" s="28" t="s">
        <v>613</v>
      </c>
      <c r="B689" s="14" t="s">
        <v>338</v>
      </c>
      <c r="C689" s="81" t="s">
        <v>462</v>
      </c>
      <c r="E689" s="4">
        <v>45748</v>
      </c>
      <c r="F689" s="52">
        <v>11173.51</v>
      </c>
      <c r="G689" t="s">
        <v>17</v>
      </c>
    </row>
    <row r="690" spans="1:7">
      <c r="A690" s="28" t="s">
        <v>613</v>
      </c>
      <c r="B690" s="14" t="s">
        <v>304</v>
      </c>
      <c r="C690" s="81" t="s">
        <v>610</v>
      </c>
      <c r="E690" s="4">
        <v>45748</v>
      </c>
      <c r="F690" s="52">
        <v>9762.77</v>
      </c>
      <c r="G690" t="s">
        <v>17</v>
      </c>
    </row>
    <row r="691" spans="1:7">
      <c r="A691" s="28" t="s">
        <v>613</v>
      </c>
      <c r="B691" s="14" t="s">
        <v>361</v>
      </c>
      <c r="C691" s="81" t="s">
        <v>462</v>
      </c>
      <c r="E691" s="4">
        <v>45748</v>
      </c>
      <c r="F691" s="52">
        <v>11141.12</v>
      </c>
      <c r="G691" t="s">
        <v>17</v>
      </c>
    </row>
    <row r="692" spans="1:7">
      <c r="A692" s="28" t="s">
        <v>613</v>
      </c>
      <c r="B692" s="14" t="s">
        <v>397</v>
      </c>
      <c r="C692" s="81" t="s">
        <v>462</v>
      </c>
      <c r="E692" s="4">
        <v>45748</v>
      </c>
      <c r="F692" s="52">
        <v>11136.72</v>
      </c>
      <c r="G692" t="s">
        <v>17</v>
      </c>
    </row>
    <row r="693" spans="1:7">
      <c r="A693" s="14" t="s">
        <v>614</v>
      </c>
      <c r="B693" s="14" t="s">
        <v>343</v>
      </c>
      <c r="C693" s="29" t="s">
        <v>530</v>
      </c>
      <c r="E693" s="4">
        <v>45699</v>
      </c>
      <c r="F693" s="55">
        <f>73599.33-F703</f>
        <v>55397.950000000004</v>
      </c>
      <c r="G693" t="s">
        <v>592</v>
      </c>
    </row>
    <row r="694" spans="1:7">
      <c r="A694" s="14" t="s">
        <v>614</v>
      </c>
      <c r="B694" s="14" t="s">
        <v>356</v>
      </c>
      <c r="C694" s="29" t="s">
        <v>530</v>
      </c>
      <c r="E694" s="4">
        <v>45699</v>
      </c>
      <c r="F694" s="55">
        <f>54534.43-F704</f>
        <v>43916.29</v>
      </c>
      <c r="G694" t="s">
        <v>592</v>
      </c>
    </row>
    <row r="695" spans="1:7">
      <c r="A695" s="14" t="s">
        <v>614</v>
      </c>
      <c r="B695" s="14" t="s">
        <v>368</v>
      </c>
      <c r="C695" s="29" t="s">
        <v>530</v>
      </c>
      <c r="E695" s="4">
        <v>45699</v>
      </c>
      <c r="F695" s="78">
        <f>67421.29-F705</f>
        <v>57699.049999999996</v>
      </c>
      <c r="G695" t="s">
        <v>592</v>
      </c>
    </row>
    <row r="696" spans="1:7">
      <c r="A696" s="14" t="s">
        <v>614</v>
      </c>
      <c r="B696" s="14" t="s">
        <v>615</v>
      </c>
      <c r="C696" s="29" t="s">
        <v>530</v>
      </c>
      <c r="E696" s="4">
        <v>45699</v>
      </c>
      <c r="F696">
        <f>72493.55-F706</f>
        <v>58530.700000000004</v>
      </c>
      <c r="G696" t="s">
        <v>592</v>
      </c>
    </row>
    <row r="697" spans="1:7">
      <c r="A697" s="14" t="s">
        <v>614</v>
      </c>
      <c r="B697" s="14" t="s">
        <v>374</v>
      </c>
      <c r="C697" s="29" t="s">
        <v>530</v>
      </c>
      <c r="E697" s="4">
        <v>45699</v>
      </c>
      <c r="F697" s="78">
        <f>72384.04-F707</f>
        <v>62507.499999999993</v>
      </c>
      <c r="G697" t="s">
        <v>592</v>
      </c>
    </row>
    <row r="698" spans="1:7" ht="21.75">
      <c r="A698" s="14" t="s">
        <v>614</v>
      </c>
      <c r="B698" s="14" t="s">
        <v>379</v>
      </c>
      <c r="C698" s="29" t="s">
        <v>530</v>
      </c>
      <c r="E698" s="4">
        <v>45699</v>
      </c>
      <c r="F698" s="78">
        <f>74341.5-F708</f>
        <v>64152.76</v>
      </c>
      <c r="G698" t="s">
        <v>592</v>
      </c>
    </row>
    <row r="699" spans="1:7">
      <c r="A699" s="14" t="s">
        <v>614</v>
      </c>
      <c r="B699" s="14" t="s">
        <v>382</v>
      </c>
      <c r="C699" s="29" t="s">
        <v>530</v>
      </c>
      <c r="E699" s="4">
        <v>45699</v>
      </c>
      <c r="F699" s="78">
        <f>50309.67-F709</f>
        <v>40170.25</v>
      </c>
      <c r="G699" t="s">
        <v>592</v>
      </c>
    </row>
    <row r="700" spans="1:7">
      <c r="A700" s="14" t="s">
        <v>614</v>
      </c>
      <c r="B700" s="14" t="s">
        <v>332</v>
      </c>
      <c r="C700" s="29" t="s">
        <v>530</v>
      </c>
      <c r="E700" s="4">
        <v>45699</v>
      </c>
      <c r="F700" s="78">
        <f>72801.55-F710</f>
        <v>62855.820000000007</v>
      </c>
      <c r="G700" t="s">
        <v>592</v>
      </c>
    </row>
    <row r="701" spans="1:7">
      <c r="A701" s="14" t="s">
        <v>614</v>
      </c>
      <c r="B701" s="14" t="s">
        <v>387</v>
      </c>
      <c r="C701" s="29" t="s">
        <v>530</v>
      </c>
      <c r="E701" s="4">
        <v>45699</v>
      </c>
      <c r="F701" s="55">
        <v>312518.21999999997</v>
      </c>
      <c r="G701" t="s">
        <v>592</v>
      </c>
    </row>
    <row r="702" spans="1:7">
      <c r="A702" s="14" t="s">
        <v>614</v>
      </c>
      <c r="B702" s="14" t="s">
        <v>392</v>
      </c>
      <c r="C702" s="29" t="s">
        <v>530</v>
      </c>
      <c r="E702" s="4">
        <v>45699</v>
      </c>
      <c r="F702" s="78">
        <f>59841.2-F711</f>
        <v>49895.159999999996</v>
      </c>
      <c r="G702" t="s">
        <v>592</v>
      </c>
    </row>
    <row r="703" spans="1:7">
      <c r="A703" s="14" t="s">
        <v>614</v>
      </c>
      <c r="B703" s="14" t="s">
        <v>343</v>
      </c>
      <c r="C703" s="29" t="s">
        <v>309</v>
      </c>
      <c r="E703" s="4">
        <v>45699</v>
      </c>
      <c r="F703">
        <f>8789.82+9411.56</f>
        <v>18201.379999999997</v>
      </c>
      <c r="G703" t="s">
        <v>592</v>
      </c>
    </row>
    <row r="704" spans="1:7">
      <c r="A704" s="14" t="s">
        <v>614</v>
      </c>
      <c r="B704" s="14" t="s">
        <v>356</v>
      </c>
      <c r="C704" s="29" t="s">
        <v>462</v>
      </c>
      <c r="E704" s="4">
        <v>45699</v>
      </c>
      <c r="F704" s="52">
        <v>10618.14</v>
      </c>
      <c r="G704" t="s">
        <v>592</v>
      </c>
    </row>
    <row r="705" spans="1:9">
      <c r="A705" s="14" t="s">
        <v>614</v>
      </c>
      <c r="B705" s="14" t="s">
        <v>368</v>
      </c>
      <c r="C705" s="29" t="s">
        <v>462</v>
      </c>
      <c r="E705" s="4">
        <v>45699</v>
      </c>
      <c r="F705" s="52">
        <v>9722.24</v>
      </c>
      <c r="G705" t="s">
        <v>592</v>
      </c>
    </row>
    <row r="706" spans="1:9">
      <c r="A706" s="14" t="s">
        <v>614</v>
      </c>
      <c r="B706" s="14" t="s">
        <v>615</v>
      </c>
      <c r="C706" s="29" t="s">
        <v>309</v>
      </c>
      <c r="E706" s="4">
        <v>45699</v>
      </c>
      <c r="F706">
        <f>4112.75+9850.1</f>
        <v>13962.85</v>
      </c>
      <c r="G706" t="s">
        <v>592</v>
      </c>
    </row>
    <row r="707" spans="1:9">
      <c r="A707" s="14" t="s">
        <v>614</v>
      </c>
      <c r="B707" s="14" t="s">
        <v>374</v>
      </c>
      <c r="C707" s="29" t="s">
        <v>462</v>
      </c>
      <c r="E707" s="4">
        <v>45699</v>
      </c>
      <c r="F707" s="52">
        <v>9876.5400000000009</v>
      </c>
      <c r="G707" t="s">
        <v>592</v>
      </c>
    </row>
    <row r="708" spans="1:9" ht="21.75">
      <c r="A708" s="14" t="s">
        <v>614</v>
      </c>
      <c r="B708" s="14" t="s">
        <v>379</v>
      </c>
      <c r="C708" s="29" t="s">
        <v>462</v>
      </c>
      <c r="E708" s="4">
        <v>45699</v>
      </c>
      <c r="F708" s="52">
        <v>10188.74</v>
      </c>
      <c r="G708" t="s">
        <v>592</v>
      </c>
    </row>
    <row r="709" spans="1:9">
      <c r="A709" s="14" t="s">
        <v>614</v>
      </c>
      <c r="B709" s="14" t="s">
        <v>382</v>
      </c>
      <c r="C709" s="29" t="s">
        <v>462</v>
      </c>
      <c r="E709" s="4">
        <v>45699</v>
      </c>
      <c r="F709" s="52">
        <v>10139.42</v>
      </c>
      <c r="G709" t="s">
        <v>592</v>
      </c>
    </row>
    <row r="710" spans="1:9">
      <c r="A710" s="14" t="s">
        <v>614</v>
      </c>
      <c r="B710" s="14" t="s">
        <v>332</v>
      </c>
      <c r="C710" s="29" t="s">
        <v>462</v>
      </c>
      <c r="E710" s="4">
        <v>45699</v>
      </c>
      <c r="F710" s="52">
        <v>9945.73</v>
      </c>
      <c r="G710" t="s">
        <v>592</v>
      </c>
    </row>
    <row r="711" spans="1:9">
      <c r="A711" s="14" t="s">
        <v>614</v>
      </c>
      <c r="B711" s="14" t="s">
        <v>392</v>
      </c>
      <c r="C711" s="29" t="s">
        <v>462</v>
      </c>
      <c r="E711" s="4">
        <v>45699</v>
      </c>
      <c r="F711" s="52">
        <v>9946.0400000000009</v>
      </c>
      <c r="G711" t="s">
        <v>592</v>
      </c>
      <c r="I711" s="78"/>
    </row>
    <row r="712" spans="1:9">
      <c r="A712" s="14" t="s">
        <v>614</v>
      </c>
      <c r="B712" s="14" t="s">
        <v>343</v>
      </c>
      <c r="C712" s="29" t="s">
        <v>530</v>
      </c>
      <c r="D712" s="4">
        <v>45785</v>
      </c>
      <c r="G712" t="s">
        <v>611</v>
      </c>
    </row>
    <row r="713" spans="1:9">
      <c r="A713" s="14" t="s">
        <v>614</v>
      </c>
      <c r="B713" s="14" t="s">
        <v>356</v>
      </c>
      <c r="C713" s="29" t="s">
        <v>530</v>
      </c>
      <c r="D713" s="4">
        <v>45785</v>
      </c>
      <c r="G713" t="s">
        <v>611</v>
      </c>
    </row>
    <row r="714" spans="1:9">
      <c r="A714" s="14" t="s">
        <v>614</v>
      </c>
      <c r="B714" s="14" t="s">
        <v>368</v>
      </c>
      <c r="C714" s="29" t="s">
        <v>530</v>
      </c>
      <c r="D714" s="4">
        <v>45785</v>
      </c>
      <c r="G714" t="s">
        <v>611</v>
      </c>
    </row>
    <row r="715" spans="1:9">
      <c r="A715" s="14" t="s">
        <v>614</v>
      </c>
      <c r="B715" s="14" t="s">
        <v>615</v>
      </c>
      <c r="C715" s="29" t="s">
        <v>530</v>
      </c>
      <c r="D715" s="4">
        <v>45785</v>
      </c>
      <c r="G715" t="s">
        <v>611</v>
      </c>
    </row>
    <row r="716" spans="1:9">
      <c r="A716" s="14" t="s">
        <v>614</v>
      </c>
      <c r="B716" s="14" t="s">
        <v>374</v>
      </c>
      <c r="C716" s="29" t="s">
        <v>530</v>
      </c>
      <c r="D716" s="4">
        <v>45785</v>
      </c>
      <c r="G716" t="s">
        <v>611</v>
      </c>
    </row>
    <row r="717" spans="1:9" ht="21.75">
      <c r="A717" s="14" t="s">
        <v>614</v>
      </c>
      <c r="B717" s="14" t="s">
        <v>379</v>
      </c>
      <c r="C717" s="29" t="s">
        <v>530</v>
      </c>
      <c r="D717" s="4">
        <v>45785</v>
      </c>
      <c r="G717" t="s">
        <v>611</v>
      </c>
    </row>
    <row r="718" spans="1:9">
      <c r="A718" s="14" t="s">
        <v>614</v>
      </c>
      <c r="B718" s="14" t="s">
        <v>382</v>
      </c>
      <c r="C718" s="29" t="s">
        <v>530</v>
      </c>
      <c r="D718" s="4">
        <v>45785</v>
      </c>
      <c r="G718" t="s">
        <v>611</v>
      </c>
    </row>
    <row r="719" spans="1:9">
      <c r="A719" s="14" t="s">
        <v>614</v>
      </c>
      <c r="B719" s="14" t="s">
        <v>332</v>
      </c>
      <c r="C719" s="29" t="s">
        <v>530</v>
      </c>
      <c r="D719" s="4">
        <v>45785</v>
      </c>
      <c r="G719" t="s">
        <v>611</v>
      </c>
    </row>
    <row r="720" spans="1:9">
      <c r="A720" s="14" t="s">
        <v>614</v>
      </c>
      <c r="B720" s="14" t="s">
        <v>387</v>
      </c>
      <c r="C720" s="29" t="s">
        <v>530</v>
      </c>
      <c r="D720" s="4">
        <v>45785</v>
      </c>
      <c r="G720" t="s">
        <v>611</v>
      </c>
    </row>
    <row r="721" spans="1:7">
      <c r="A721" s="14" t="s">
        <v>614</v>
      </c>
      <c r="B721" s="14" t="s">
        <v>392</v>
      </c>
      <c r="C721" s="29" t="s">
        <v>530</v>
      </c>
      <c r="D721" s="4">
        <v>45785</v>
      </c>
      <c r="G721" t="s">
        <v>611</v>
      </c>
    </row>
    <row r="722" spans="1:7">
      <c r="A722" s="14" t="s">
        <v>614</v>
      </c>
      <c r="B722" s="14" t="s">
        <v>343</v>
      </c>
      <c r="C722" s="29" t="s">
        <v>309</v>
      </c>
      <c r="D722" s="4">
        <v>45785</v>
      </c>
      <c r="G722" t="s">
        <v>611</v>
      </c>
    </row>
    <row r="723" spans="1:7">
      <c r="A723" s="14" t="s">
        <v>614</v>
      </c>
      <c r="B723" s="14" t="s">
        <v>356</v>
      </c>
      <c r="C723" s="29" t="s">
        <v>462</v>
      </c>
      <c r="D723" s="4">
        <v>45785</v>
      </c>
      <c r="G723" t="s">
        <v>611</v>
      </c>
    </row>
    <row r="724" spans="1:7">
      <c r="A724" s="14" t="s">
        <v>614</v>
      </c>
      <c r="B724" s="14" t="s">
        <v>368</v>
      </c>
      <c r="C724" s="29" t="s">
        <v>462</v>
      </c>
      <c r="D724" s="4">
        <v>45785</v>
      </c>
      <c r="G724" t="s">
        <v>611</v>
      </c>
    </row>
    <row r="725" spans="1:7">
      <c r="A725" s="14" t="s">
        <v>614</v>
      </c>
      <c r="B725" s="14" t="s">
        <v>615</v>
      </c>
      <c r="C725" s="29" t="s">
        <v>309</v>
      </c>
      <c r="D725" s="4">
        <v>45785</v>
      </c>
      <c r="G725" t="s">
        <v>611</v>
      </c>
    </row>
    <row r="726" spans="1:7">
      <c r="A726" s="14" t="s">
        <v>614</v>
      </c>
      <c r="B726" s="14" t="s">
        <v>374</v>
      </c>
      <c r="C726" s="29" t="s">
        <v>462</v>
      </c>
      <c r="D726" s="4">
        <v>45785</v>
      </c>
      <c r="G726" t="s">
        <v>611</v>
      </c>
    </row>
    <row r="727" spans="1:7" ht="21.75">
      <c r="A727" s="14" t="s">
        <v>614</v>
      </c>
      <c r="B727" s="14" t="s">
        <v>379</v>
      </c>
      <c r="C727" s="29" t="s">
        <v>462</v>
      </c>
      <c r="D727" s="4">
        <v>45785</v>
      </c>
      <c r="G727" t="s">
        <v>611</v>
      </c>
    </row>
    <row r="728" spans="1:7">
      <c r="A728" s="14" t="s">
        <v>614</v>
      </c>
      <c r="B728" s="14" t="s">
        <v>382</v>
      </c>
      <c r="C728" s="29" t="s">
        <v>462</v>
      </c>
      <c r="D728" s="4">
        <v>45785</v>
      </c>
      <c r="G728" t="s">
        <v>611</v>
      </c>
    </row>
    <row r="729" spans="1:7">
      <c r="A729" s="14" t="s">
        <v>614</v>
      </c>
      <c r="B729" s="14" t="s">
        <v>332</v>
      </c>
      <c r="C729" s="29" t="s">
        <v>462</v>
      </c>
      <c r="D729" s="4">
        <v>45785</v>
      </c>
      <c r="G729" t="s">
        <v>611</v>
      </c>
    </row>
    <row r="730" spans="1:7">
      <c r="A730" s="14" t="s">
        <v>614</v>
      </c>
      <c r="B730" s="14" t="s">
        <v>392</v>
      </c>
      <c r="C730" s="29" t="s">
        <v>462</v>
      </c>
      <c r="D730" s="4">
        <v>45785</v>
      </c>
      <c r="G730" t="s">
        <v>611</v>
      </c>
    </row>
    <row r="731" spans="1:7" ht="17.25">
      <c r="A731" s="13" t="s">
        <v>616</v>
      </c>
      <c r="B731" s="14" t="s">
        <v>301</v>
      </c>
      <c r="C731" s="2" t="s">
        <v>390</v>
      </c>
      <c r="E731" s="4">
        <v>45658</v>
      </c>
      <c r="F731" s="82">
        <v>47530</v>
      </c>
      <c r="G731" t="s">
        <v>592</v>
      </c>
    </row>
    <row r="732" spans="1:7" ht="17.25">
      <c r="A732" s="13" t="s">
        <v>616</v>
      </c>
      <c r="B732" s="14" t="s">
        <v>301</v>
      </c>
      <c r="C732" s="2" t="s">
        <v>390</v>
      </c>
      <c r="E732" s="4">
        <v>45709</v>
      </c>
      <c r="F732" s="58">
        <v>35000</v>
      </c>
      <c r="G732" t="s">
        <v>617</v>
      </c>
    </row>
    <row r="733" spans="1:7" ht="15.75">
      <c r="A733" s="13" t="s">
        <v>618</v>
      </c>
      <c r="B733" s="14" t="s">
        <v>303</v>
      </c>
      <c r="C733" s="2" t="s">
        <v>390</v>
      </c>
      <c r="E733" s="4">
        <v>45658</v>
      </c>
      <c r="F733" s="56">
        <v>64682.87</v>
      </c>
      <c r="G733" t="s">
        <v>592</v>
      </c>
    </row>
    <row r="734" spans="1:7" ht="15.75">
      <c r="A734" s="13" t="s">
        <v>618</v>
      </c>
      <c r="B734" s="14" t="s">
        <v>303</v>
      </c>
      <c r="C734" s="2" t="s">
        <v>390</v>
      </c>
      <c r="E734" s="4">
        <v>45755</v>
      </c>
      <c r="F734" s="57">
        <v>68225.67</v>
      </c>
      <c r="G734" t="s">
        <v>52</v>
      </c>
    </row>
    <row r="735" spans="1:7" ht="15.75">
      <c r="A735" s="13" t="s">
        <v>619</v>
      </c>
      <c r="B735" s="14" t="s">
        <v>303</v>
      </c>
      <c r="C735" s="2" t="s">
        <v>390</v>
      </c>
      <c r="E735" s="4">
        <v>45658</v>
      </c>
      <c r="F735" s="56">
        <v>16228.64</v>
      </c>
      <c r="G735" t="s">
        <v>12</v>
      </c>
    </row>
    <row r="736" spans="1:7" ht="15.75">
      <c r="A736" s="13" t="s">
        <v>619</v>
      </c>
      <c r="B736" s="14" t="s">
        <v>303</v>
      </c>
      <c r="C736" s="2" t="s">
        <v>390</v>
      </c>
      <c r="E736" s="4">
        <v>45755</v>
      </c>
      <c r="F736" s="57">
        <v>17117.509999999998</v>
      </c>
      <c r="G736" t="s">
        <v>52</v>
      </c>
    </row>
    <row r="737" spans="1:7" ht="15.75">
      <c r="A737" s="13" t="s">
        <v>620</v>
      </c>
      <c r="B737" s="14" t="s">
        <v>332</v>
      </c>
      <c r="C737" s="2" t="s">
        <v>390</v>
      </c>
      <c r="E737" s="4">
        <v>45213</v>
      </c>
      <c r="F737" s="57">
        <v>28400.01</v>
      </c>
      <c r="G737" t="s">
        <v>52</v>
      </c>
    </row>
    <row r="738" spans="1:7" ht="15.75">
      <c r="A738" s="13" t="s">
        <v>621</v>
      </c>
      <c r="B738" s="6" t="s">
        <v>338</v>
      </c>
      <c r="C738" s="2" t="s">
        <v>390</v>
      </c>
      <c r="E738" s="4">
        <v>45658</v>
      </c>
      <c r="F738" s="57">
        <f>20000+(7210.03/12)+(440.23/12)</f>
        <v>20637.521666666667</v>
      </c>
      <c r="G738" t="s">
        <v>592</v>
      </c>
    </row>
    <row r="739" spans="1:7">
      <c r="A739" s="13" t="s">
        <v>622</v>
      </c>
      <c r="B739" s="14" t="s">
        <v>304</v>
      </c>
      <c r="C739" s="2" t="s">
        <v>390</v>
      </c>
      <c r="E739" s="4">
        <v>44819</v>
      </c>
      <c r="F739">
        <f>18079.56+3700</f>
        <v>21779.56</v>
      </c>
      <c r="G739" t="s">
        <v>623</v>
      </c>
    </row>
    <row r="740" spans="1:7" ht="15.75">
      <c r="A740" s="13" t="s">
        <v>624</v>
      </c>
      <c r="B740" s="14" t="s">
        <v>351</v>
      </c>
      <c r="C740" s="2" t="s">
        <v>390</v>
      </c>
      <c r="E740" s="4">
        <v>45377</v>
      </c>
      <c r="F740" s="57">
        <v>10009.09</v>
      </c>
      <c r="G740" t="s">
        <v>325</v>
      </c>
    </row>
    <row r="741" spans="1:7" ht="15.75">
      <c r="A741" s="13" t="s">
        <v>625</v>
      </c>
      <c r="B741" s="14" t="s">
        <v>356</v>
      </c>
      <c r="C741" s="2" t="s">
        <v>390</v>
      </c>
      <c r="E741" s="4">
        <v>45464</v>
      </c>
      <c r="F741" s="57">
        <v>15149.03</v>
      </c>
      <c r="G741" t="s">
        <v>325</v>
      </c>
    </row>
    <row r="742" spans="1:7" ht="15.75">
      <c r="A742" s="13" t="s">
        <v>626</v>
      </c>
      <c r="B742" s="14" t="s">
        <v>361</v>
      </c>
      <c r="C742" s="24" t="s">
        <v>390</v>
      </c>
      <c r="E742" s="4">
        <v>45367</v>
      </c>
      <c r="F742" s="57">
        <v>18430.39</v>
      </c>
      <c r="G742" t="s">
        <v>325</v>
      </c>
    </row>
    <row r="743" spans="1:7" ht="15.75">
      <c r="A743" s="13" t="s">
        <v>626</v>
      </c>
      <c r="B743" s="14" t="s">
        <v>361</v>
      </c>
      <c r="C743" s="24" t="s">
        <v>390</v>
      </c>
      <c r="E743" s="4">
        <v>45800</v>
      </c>
      <c r="F743" s="57">
        <v>18430.39</v>
      </c>
      <c r="G743" t="s">
        <v>82</v>
      </c>
    </row>
    <row r="744" spans="1:7">
      <c r="A744" s="13" t="s">
        <v>627</v>
      </c>
      <c r="B744" s="14" t="s">
        <v>361</v>
      </c>
      <c r="C744" s="24" t="s">
        <v>390</v>
      </c>
      <c r="E744" s="4">
        <v>45642</v>
      </c>
      <c r="F744">
        <f>9500+600+(8115.76/12)+(371.52/12)</f>
        <v>10807.273333333333</v>
      </c>
      <c r="G744" t="s">
        <v>592</v>
      </c>
    </row>
    <row r="745" spans="1:7" ht="15.75">
      <c r="A745" s="13" t="s">
        <v>628</v>
      </c>
      <c r="B745" s="14" t="s">
        <v>305</v>
      </c>
      <c r="C745" s="2" t="s">
        <v>390</v>
      </c>
      <c r="E745" s="4">
        <v>45658</v>
      </c>
      <c r="F745" s="57">
        <v>23000</v>
      </c>
      <c r="G745" t="s">
        <v>592</v>
      </c>
    </row>
    <row r="746" spans="1:7" ht="17.25">
      <c r="A746" s="13" t="s">
        <v>629</v>
      </c>
      <c r="B746" s="14" t="s">
        <v>368</v>
      </c>
      <c r="C746" s="2" t="s">
        <v>390</v>
      </c>
      <c r="E746" s="4">
        <v>45658</v>
      </c>
      <c r="F746" s="58">
        <v>12135.12</v>
      </c>
      <c r="G746" t="s">
        <v>592</v>
      </c>
    </row>
    <row r="747" spans="1:7" ht="15.75">
      <c r="A747" s="13" t="s">
        <v>629</v>
      </c>
      <c r="B747" s="14" t="s">
        <v>368</v>
      </c>
      <c r="C747" s="2" t="s">
        <v>390</v>
      </c>
      <c r="E747" s="4">
        <v>45849</v>
      </c>
      <c r="F747" s="57">
        <v>12784.49</v>
      </c>
      <c r="G747" t="s">
        <v>52</v>
      </c>
    </row>
    <row r="748" spans="1:7" ht="15.75">
      <c r="A748" s="13" t="s">
        <v>630</v>
      </c>
      <c r="B748" s="14" t="s">
        <v>374</v>
      </c>
      <c r="C748" s="2" t="s">
        <v>631</v>
      </c>
      <c r="E748" s="4">
        <v>45658</v>
      </c>
      <c r="F748" s="57">
        <v>25000</v>
      </c>
      <c r="G748" t="s">
        <v>592</v>
      </c>
    </row>
    <row r="749" spans="1:7" ht="15.75">
      <c r="A749" s="13" t="s">
        <v>630</v>
      </c>
      <c r="B749" s="14" t="s">
        <v>374</v>
      </c>
      <c r="C749" s="2" t="s">
        <v>631</v>
      </c>
      <c r="E749" s="4">
        <v>45692</v>
      </c>
      <c r="F749" s="57">
        <v>26139.97</v>
      </c>
      <c r="G749" t="s">
        <v>52</v>
      </c>
    </row>
    <row r="750" spans="1:7" ht="21.75">
      <c r="A750" s="13" t="s">
        <v>632</v>
      </c>
      <c r="B750" s="14" t="s">
        <v>379</v>
      </c>
      <c r="C750" s="2" t="s">
        <v>390</v>
      </c>
      <c r="E750" s="4">
        <v>45645</v>
      </c>
      <c r="F750" s="57">
        <v>10100.200000000001</v>
      </c>
      <c r="G750" t="s">
        <v>325</v>
      </c>
    </row>
    <row r="751" spans="1:7" ht="15.75">
      <c r="A751" s="13" t="s">
        <v>633</v>
      </c>
      <c r="B751" s="14" t="s">
        <v>382</v>
      </c>
      <c r="C751" s="2" t="s">
        <v>390</v>
      </c>
      <c r="E751" s="4">
        <v>45458</v>
      </c>
      <c r="F751" s="56">
        <v>20519.88</v>
      </c>
      <c r="G751" t="s">
        <v>325</v>
      </c>
    </row>
    <row r="752" spans="1:7" ht="15.75">
      <c r="A752" s="13" t="s">
        <v>633</v>
      </c>
      <c r="B752" s="14" t="s">
        <v>382</v>
      </c>
      <c r="C752" s="2" t="s">
        <v>390</v>
      </c>
      <c r="E752" s="4">
        <v>45778</v>
      </c>
      <c r="F752" s="56">
        <v>21555.42</v>
      </c>
      <c r="G752" t="s">
        <v>52</v>
      </c>
    </row>
    <row r="753" spans="1:7" ht="15.75">
      <c r="A753" s="13" t="s">
        <v>634</v>
      </c>
      <c r="B753" s="14" t="s">
        <v>392</v>
      </c>
      <c r="C753" s="2" t="s">
        <v>390</v>
      </c>
      <c r="E753" s="4">
        <v>44970</v>
      </c>
      <c r="F753" s="57">
        <v>18444.52</v>
      </c>
      <c r="G753" t="s">
        <v>544</v>
      </c>
    </row>
    <row r="754" spans="1:7" ht="15.75">
      <c r="A754" s="13" t="s">
        <v>635</v>
      </c>
      <c r="B754" s="14" t="s">
        <v>397</v>
      </c>
      <c r="C754" s="2" t="s">
        <v>390</v>
      </c>
      <c r="E754" s="4">
        <v>45592</v>
      </c>
      <c r="F754" s="57">
        <v>12739.54</v>
      </c>
      <c r="G754" t="s">
        <v>325</v>
      </c>
    </row>
    <row r="755" spans="1:7" ht="15.75">
      <c r="A755" s="13" t="s">
        <v>636</v>
      </c>
      <c r="B755" s="14" t="s">
        <v>307</v>
      </c>
      <c r="C755" s="2" t="s">
        <v>390</v>
      </c>
      <c r="E755" s="4">
        <v>45566</v>
      </c>
      <c r="F755" s="57">
        <v>53154.62</v>
      </c>
      <c r="G755" t="s">
        <v>325</v>
      </c>
    </row>
    <row r="756" spans="1:7" ht="15.75">
      <c r="A756" s="13" t="s">
        <v>637</v>
      </c>
      <c r="B756" s="14" t="s">
        <v>408</v>
      </c>
      <c r="C756" s="14" t="s">
        <v>390</v>
      </c>
      <c r="E756" s="4">
        <v>45658</v>
      </c>
      <c r="F756" s="56">
        <v>23200</v>
      </c>
      <c r="G756" t="s">
        <v>592</v>
      </c>
    </row>
    <row r="757" spans="1:7" ht="21.75">
      <c r="A757" s="13" t="s">
        <v>638</v>
      </c>
      <c r="B757" s="14" t="s">
        <v>639</v>
      </c>
      <c r="C757" s="2" t="s">
        <v>640</v>
      </c>
      <c r="E757" s="4">
        <v>45612</v>
      </c>
      <c r="F757" s="57">
        <f>380575.21+150862.32</f>
        <v>531437.53</v>
      </c>
      <c r="G757" t="s">
        <v>325</v>
      </c>
    </row>
    <row r="758" spans="1:7" ht="21.75">
      <c r="A758" s="13" t="s">
        <v>641</v>
      </c>
      <c r="B758" s="14" t="s">
        <v>518</v>
      </c>
      <c r="C758" s="2" t="s">
        <v>642</v>
      </c>
      <c r="E758" s="4">
        <v>45658</v>
      </c>
      <c r="F758" s="57">
        <v>21662.880000000001</v>
      </c>
      <c r="G758" t="s">
        <v>592</v>
      </c>
    </row>
    <row r="759" spans="1:7" ht="21.75">
      <c r="A759" s="13" t="s">
        <v>641</v>
      </c>
      <c r="B759" s="14" t="s">
        <v>518</v>
      </c>
      <c r="C759" s="2" t="s">
        <v>642</v>
      </c>
      <c r="E759" s="4">
        <v>45870</v>
      </c>
      <c r="F759" s="57">
        <v>22304.35</v>
      </c>
      <c r="G759" t="s">
        <v>52</v>
      </c>
    </row>
    <row r="760" spans="1:7" ht="17.25">
      <c r="A760" s="13" t="s">
        <v>643</v>
      </c>
      <c r="B760" s="6" t="s">
        <v>644</v>
      </c>
      <c r="C760" s="2" t="s">
        <v>189</v>
      </c>
      <c r="E760" s="4">
        <v>45658</v>
      </c>
      <c r="F760" s="58">
        <v>77730.53</v>
      </c>
      <c r="G760" t="s">
        <v>592</v>
      </c>
    </row>
    <row r="761" spans="1:7" ht="17.25">
      <c r="A761" s="13" t="s">
        <v>643</v>
      </c>
      <c r="B761" s="6" t="s">
        <v>644</v>
      </c>
      <c r="C761" s="2" t="s">
        <v>189</v>
      </c>
      <c r="E761" s="4">
        <v>45748</v>
      </c>
      <c r="F761" s="58">
        <v>78147.72</v>
      </c>
      <c r="G761" t="s">
        <v>52</v>
      </c>
    </row>
  </sheetData>
  <phoneticPr fontId="2" type="noConversion"/>
  <conditionalFormatting sqref="A31">
    <cfRule type="duplicateValues" dxfId="28" priority="26"/>
  </conditionalFormatting>
  <conditionalFormatting sqref="A419:A422">
    <cfRule type="duplicateValues" dxfId="27" priority="30"/>
  </conditionalFormatting>
  <conditionalFormatting sqref="A423:A426">
    <cfRule type="duplicateValues" dxfId="26" priority="29"/>
  </conditionalFormatting>
  <conditionalFormatting sqref="A106:A111">
    <cfRule type="duplicateValues" dxfId="25" priority="36"/>
  </conditionalFormatting>
  <conditionalFormatting sqref="A269:A270">
    <cfRule type="duplicateValues" dxfId="24" priority="25"/>
  </conditionalFormatting>
  <conditionalFormatting sqref="A272">
    <cfRule type="duplicateValues" dxfId="23" priority="24"/>
  </conditionalFormatting>
  <conditionalFormatting sqref="A271 A273:A299">
    <cfRule type="duplicateValues" dxfId="22" priority="41"/>
  </conditionalFormatting>
  <conditionalFormatting sqref="A443:A444">
    <cfRule type="duplicateValues" dxfId="21" priority="23"/>
  </conditionalFormatting>
  <conditionalFormatting sqref="A445:A452">
    <cfRule type="duplicateValues" dxfId="20" priority="22"/>
  </conditionalFormatting>
  <conditionalFormatting sqref="A494">
    <cfRule type="duplicateValues" dxfId="19" priority="42"/>
  </conditionalFormatting>
  <conditionalFormatting sqref="C513:C515">
    <cfRule type="duplicateValues" dxfId="18" priority="18"/>
  </conditionalFormatting>
  <conditionalFormatting sqref="A513:A524">
    <cfRule type="duplicateValues" dxfId="17" priority="19"/>
  </conditionalFormatting>
  <conditionalFormatting sqref="C519:C521">
    <cfRule type="duplicateValues" dxfId="16" priority="17"/>
  </conditionalFormatting>
  <conditionalFormatting sqref="A527:A528">
    <cfRule type="duplicateValues" dxfId="15" priority="16"/>
  </conditionalFormatting>
  <conditionalFormatting sqref="A530:A531">
    <cfRule type="duplicateValues" dxfId="14" priority="15"/>
  </conditionalFormatting>
  <conditionalFormatting sqref="A533:A534">
    <cfRule type="duplicateValues" dxfId="13" priority="14"/>
  </conditionalFormatting>
  <conditionalFormatting sqref="A537:A538">
    <cfRule type="duplicateValues" dxfId="12" priority="13"/>
  </conditionalFormatting>
  <conditionalFormatting sqref="C541:C542">
    <cfRule type="duplicateValues" dxfId="11" priority="12"/>
  </conditionalFormatting>
  <conditionalFormatting sqref="A545:A546">
    <cfRule type="duplicateValues" dxfId="10" priority="11"/>
  </conditionalFormatting>
  <conditionalFormatting sqref="A549:A553">
    <cfRule type="duplicateValues" dxfId="9" priority="43"/>
  </conditionalFormatting>
  <conditionalFormatting sqref="A554:A557">
    <cfRule type="duplicateValues" dxfId="8" priority="44"/>
  </conditionalFormatting>
  <conditionalFormatting sqref="A558:A561">
    <cfRule type="duplicateValues" dxfId="7" priority="45"/>
  </conditionalFormatting>
  <conditionalFormatting sqref="A562:A566">
    <cfRule type="duplicateValues" dxfId="6" priority="7"/>
  </conditionalFormatting>
  <conditionalFormatting sqref="A567:A574">
    <cfRule type="duplicateValues" dxfId="5" priority="6"/>
  </conditionalFormatting>
  <conditionalFormatting sqref="A575:A582">
    <cfRule type="duplicateValues" dxfId="4" priority="5"/>
  </conditionalFormatting>
  <conditionalFormatting sqref="A583:A584">
    <cfRule type="duplicateValues" dxfId="3" priority="46"/>
  </conditionalFormatting>
  <conditionalFormatting sqref="A613">
    <cfRule type="duplicateValues" dxfId="2" priority="3"/>
  </conditionalFormatting>
  <conditionalFormatting sqref="A693:A730">
    <cfRule type="duplicateValues" dxfId="1" priority="48"/>
  </conditionalFormatting>
  <conditionalFormatting sqref="A75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Eduardo Roquete Cabral Junior</cp:lastModifiedBy>
  <cp:revision/>
  <dcterms:created xsi:type="dcterms:W3CDTF">2025-04-21T02:26:27Z</dcterms:created>
  <dcterms:modified xsi:type="dcterms:W3CDTF">2025-11-04T14:09:06Z</dcterms:modified>
  <cp:category/>
  <cp:contentStatus/>
</cp:coreProperties>
</file>